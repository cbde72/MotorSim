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5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6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7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8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9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Y:\A16_Shaul-Generator\JMAG\"/>
    </mc:Choice>
  </mc:AlternateContent>
  <xr:revisionPtr revIDLastSave="0" documentId="13_ncr:1_{5577B9F8-F0DF-4B91-9675-858B9AEAC7FE}" xr6:coauthVersionLast="47" xr6:coauthVersionMax="47" xr10:uidLastSave="{00000000-0000-0000-0000-000000000000}"/>
  <bookViews>
    <workbookView xWindow="0" yWindow="0" windowWidth="30720" windowHeight="16680" activeTab="5" xr2:uid="{00000000-000D-0000-FFFF-FFFF00000000}"/>
  </bookViews>
  <sheets>
    <sheet name="Motion Profile" sheetId="1" r:id="rId1"/>
    <sheet name="No Load" sheetId="2" r:id="rId2"/>
    <sheet name="10 Ohm" sheetId="9" r:id="rId3"/>
    <sheet name="5 Ohm" sheetId="10" r:id="rId4"/>
    <sheet name="2 Ohm" sheetId="11" r:id="rId5"/>
    <sheet name="1 Ohm" sheetId="12" r:id="rId6"/>
    <sheet name="0.5 Ohm" sheetId="13" r:id="rId7"/>
    <sheet name="0.3 Ohm" sheetId="14" r:id="rId8"/>
    <sheet name="Motor Mode" sheetId="7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3" i="12" l="1"/>
  <c r="H102" i="12"/>
  <c r="H101" i="12"/>
  <c r="H100" i="12"/>
  <c r="H99" i="12"/>
  <c r="H98" i="12"/>
  <c r="H97" i="12"/>
  <c r="H96" i="12"/>
  <c r="H95" i="12"/>
  <c r="H94" i="12"/>
  <c r="H93" i="12"/>
  <c r="H92" i="12"/>
  <c r="H91" i="12"/>
  <c r="H90" i="12"/>
  <c r="H89" i="12"/>
  <c r="H88" i="12"/>
  <c r="H87" i="12"/>
  <c r="H86" i="12"/>
  <c r="H85" i="12"/>
  <c r="H84" i="12"/>
  <c r="H83" i="12"/>
  <c r="H82" i="12"/>
  <c r="H81" i="12"/>
  <c r="H80" i="12"/>
  <c r="H79" i="12"/>
  <c r="H78" i="12"/>
  <c r="H77" i="12"/>
  <c r="H76" i="12"/>
  <c r="H75" i="12"/>
  <c r="H74" i="12"/>
  <c r="H73" i="12"/>
  <c r="H72" i="12"/>
  <c r="H71" i="12"/>
  <c r="H70" i="12"/>
  <c r="H69" i="12"/>
  <c r="H68" i="12"/>
  <c r="H67" i="12"/>
  <c r="H66" i="12"/>
  <c r="H65" i="12"/>
  <c r="H64" i="12"/>
  <c r="H63" i="12"/>
  <c r="H62" i="12"/>
  <c r="H61" i="12"/>
  <c r="H60" i="12"/>
  <c r="H59" i="12"/>
  <c r="H58" i="12"/>
  <c r="H57" i="12"/>
  <c r="H56" i="12"/>
  <c r="H55" i="12"/>
  <c r="H54" i="12"/>
  <c r="H53" i="14"/>
  <c r="H52" i="14"/>
  <c r="H51" i="14"/>
  <c r="H50" i="14"/>
  <c r="H49" i="14"/>
  <c r="H48" i="14"/>
  <c r="H47" i="14"/>
  <c r="H46" i="14"/>
  <c r="H45" i="14"/>
  <c r="H44" i="14"/>
  <c r="H43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18" i="14"/>
  <c r="H17" i="14"/>
  <c r="H16" i="14"/>
  <c r="H15" i="14"/>
  <c r="H14" i="14"/>
  <c r="H13" i="14"/>
  <c r="H12" i="14"/>
  <c r="H11" i="14"/>
  <c r="H10" i="14"/>
  <c r="H9" i="14"/>
  <c r="H8" i="14"/>
  <c r="H7" i="14"/>
  <c r="H6" i="14"/>
  <c r="H5" i="14"/>
  <c r="H4" i="14"/>
  <c r="H3" i="14"/>
  <c r="H53" i="13"/>
  <c r="H52" i="13"/>
  <c r="H51" i="13"/>
  <c r="H50" i="13"/>
  <c r="H49" i="13"/>
  <c r="H48" i="13"/>
  <c r="H47" i="13"/>
  <c r="H46" i="13"/>
  <c r="H45" i="13"/>
  <c r="H44" i="13"/>
  <c r="H43" i="13"/>
  <c r="H42" i="13"/>
  <c r="H41" i="13"/>
  <c r="H40" i="13"/>
  <c r="H39" i="13"/>
  <c r="H38" i="13"/>
  <c r="H37" i="13"/>
  <c r="H36" i="13"/>
  <c r="H35" i="13"/>
  <c r="H34" i="13"/>
  <c r="H33" i="13"/>
  <c r="H32" i="13"/>
  <c r="H31" i="13"/>
  <c r="H30" i="13"/>
  <c r="H29" i="13"/>
  <c r="H28" i="13"/>
  <c r="H27" i="13"/>
  <c r="H26" i="13"/>
  <c r="H25" i="13"/>
  <c r="H24" i="13"/>
  <c r="H23" i="13"/>
  <c r="H22" i="13"/>
  <c r="H21" i="13"/>
  <c r="H20" i="13"/>
  <c r="H19" i="13"/>
  <c r="H18" i="13"/>
  <c r="H17" i="13"/>
  <c r="H16" i="13"/>
  <c r="H15" i="13"/>
  <c r="H14" i="13"/>
  <c r="H13" i="13"/>
  <c r="H12" i="13"/>
  <c r="H11" i="13"/>
  <c r="H10" i="13"/>
  <c r="H9" i="13"/>
  <c r="H8" i="13"/>
  <c r="H7" i="13"/>
  <c r="H6" i="13"/>
  <c r="H5" i="13"/>
  <c r="H4" i="13"/>
  <c r="H3" i="13"/>
  <c r="H53" i="12"/>
  <c r="H52" i="12"/>
  <c r="H51" i="12"/>
  <c r="H50" i="12"/>
  <c r="H49" i="12"/>
  <c r="H48" i="12"/>
  <c r="H47" i="12"/>
  <c r="H46" i="12"/>
  <c r="H45" i="12"/>
  <c r="H44" i="12"/>
  <c r="H43" i="12"/>
  <c r="H42" i="12"/>
  <c r="H41" i="12"/>
  <c r="H40" i="12"/>
  <c r="H39" i="12"/>
  <c r="H38" i="12"/>
  <c r="H37" i="12"/>
  <c r="H36" i="12"/>
  <c r="H35" i="12"/>
  <c r="H34" i="12"/>
  <c r="H33" i="12"/>
  <c r="H32" i="12"/>
  <c r="H31" i="12"/>
  <c r="H30" i="12"/>
  <c r="H29" i="12"/>
  <c r="H28" i="12"/>
  <c r="H27" i="12"/>
  <c r="H26" i="12"/>
  <c r="H25" i="12"/>
  <c r="H24" i="12"/>
  <c r="H23" i="12"/>
  <c r="H22" i="12"/>
  <c r="H21" i="12"/>
  <c r="H20" i="12"/>
  <c r="H19" i="12"/>
  <c r="H18" i="12"/>
  <c r="H17" i="12"/>
  <c r="H16" i="12"/>
  <c r="H15" i="12"/>
  <c r="H14" i="12"/>
  <c r="H13" i="12"/>
  <c r="H12" i="12"/>
  <c r="H11" i="12"/>
  <c r="H10" i="12"/>
  <c r="H9" i="12"/>
  <c r="H8" i="12"/>
  <c r="H7" i="12"/>
  <c r="H6" i="12"/>
  <c r="H5" i="12"/>
  <c r="H4" i="12"/>
  <c r="H3" i="12"/>
  <c r="H53" i="11"/>
  <c r="H52" i="11"/>
  <c r="H51" i="11"/>
  <c r="H50" i="11"/>
  <c r="H49" i="11"/>
  <c r="H48" i="11"/>
  <c r="H47" i="11"/>
  <c r="H46" i="11"/>
  <c r="H45" i="11"/>
  <c r="H44" i="11"/>
  <c r="H43" i="11"/>
  <c r="H42" i="11"/>
  <c r="H41" i="11"/>
  <c r="H40" i="11"/>
  <c r="H39" i="11"/>
  <c r="H38" i="11"/>
  <c r="H37" i="11"/>
  <c r="H36" i="11"/>
  <c r="H35" i="11"/>
  <c r="H34" i="11"/>
  <c r="H33" i="11"/>
  <c r="H32" i="11"/>
  <c r="H31" i="11"/>
  <c r="H30" i="11"/>
  <c r="H29" i="11"/>
  <c r="H28" i="11"/>
  <c r="H27" i="11"/>
  <c r="H26" i="11"/>
  <c r="H25" i="11"/>
  <c r="H24" i="11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H9" i="11"/>
  <c r="H8" i="11"/>
  <c r="H7" i="11"/>
  <c r="H6" i="11"/>
  <c r="H5" i="11"/>
  <c r="H4" i="11"/>
  <c r="H3" i="11"/>
  <c r="H53" i="10"/>
  <c r="H52" i="10"/>
  <c r="H51" i="10"/>
  <c r="H50" i="10"/>
  <c r="H49" i="10"/>
  <c r="H48" i="10"/>
  <c r="H47" i="10"/>
  <c r="H46" i="10"/>
  <c r="H45" i="10"/>
  <c r="H44" i="10"/>
  <c r="H43" i="10"/>
  <c r="H42" i="10"/>
  <c r="H41" i="10"/>
  <c r="H40" i="10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H3" i="10"/>
  <c r="H53" i="9"/>
  <c r="H52" i="9"/>
  <c r="H51" i="9"/>
  <c r="H50" i="9"/>
  <c r="H49" i="9"/>
  <c r="H48" i="9"/>
  <c r="H47" i="9"/>
  <c r="H46" i="9"/>
  <c r="H45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4" i="9"/>
  <c r="H3" i="9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C99" i="14"/>
  <c r="C97" i="14"/>
  <c r="C96" i="14"/>
  <c r="C95" i="14"/>
  <c r="C94" i="14"/>
  <c r="C93" i="14"/>
  <c r="C79" i="14"/>
  <c r="C77" i="14"/>
  <c r="C76" i="14"/>
  <c r="C75" i="14"/>
  <c r="C74" i="14"/>
  <c r="C73" i="14"/>
  <c r="C59" i="14"/>
  <c r="C57" i="14"/>
  <c r="C56" i="14"/>
  <c r="C55" i="14"/>
  <c r="C54" i="14"/>
  <c r="C53" i="14"/>
  <c r="C39" i="14"/>
  <c r="C37" i="14"/>
  <c r="C36" i="14"/>
  <c r="C35" i="14"/>
  <c r="C34" i="14"/>
  <c r="C33" i="14"/>
  <c r="C19" i="14"/>
  <c r="C17" i="14"/>
  <c r="C16" i="14"/>
  <c r="C15" i="14"/>
  <c r="C14" i="14"/>
  <c r="C13" i="14"/>
  <c r="C100" i="13"/>
  <c r="C99" i="13"/>
  <c r="C98" i="13"/>
  <c r="C97" i="13"/>
  <c r="C96" i="13"/>
  <c r="C95" i="13"/>
  <c r="C94" i="13"/>
  <c r="C80" i="13"/>
  <c r="C79" i="13"/>
  <c r="C78" i="13"/>
  <c r="C77" i="13"/>
  <c r="C76" i="13"/>
  <c r="C75" i="13"/>
  <c r="C74" i="13"/>
  <c r="C60" i="13"/>
  <c r="C59" i="13"/>
  <c r="C58" i="13"/>
  <c r="C57" i="13"/>
  <c r="C56" i="13"/>
  <c r="C55" i="13"/>
  <c r="C54" i="13"/>
  <c r="C40" i="13"/>
  <c r="C39" i="13"/>
  <c r="C38" i="13"/>
  <c r="C37" i="13"/>
  <c r="C36" i="13"/>
  <c r="C35" i="13"/>
  <c r="C34" i="13"/>
  <c r="C20" i="13"/>
  <c r="C19" i="13"/>
  <c r="C18" i="13"/>
  <c r="C17" i="13"/>
  <c r="C16" i="13"/>
  <c r="C15" i="13"/>
  <c r="C14" i="13"/>
  <c r="C100" i="12"/>
  <c r="C99" i="12"/>
  <c r="C98" i="12"/>
  <c r="C97" i="12"/>
  <c r="C96" i="12"/>
  <c r="C95" i="12"/>
  <c r="C83" i="12"/>
  <c r="C80" i="12"/>
  <c r="C79" i="12"/>
  <c r="C78" i="12"/>
  <c r="C77" i="12"/>
  <c r="C76" i="12"/>
  <c r="C75" i="12"/>
  <c r="C60" i="12"/>
  <c r="C59" i="12"/>
  <c r="C58" i="12"/>
  <c r="C57" i="12"/>
  <c r="C56" i="12"/>
  <c r="C55" i="12"/>
  <c r="C40" i="12"/>
  <c r="C39" i="12"/>
  <c r="C38" i="12"/>
  <c r="C37" i="12"/>
  <c r="C36" i="12"/>
  <c r="C35" i="12"/>
  <c r="C20" i="12"/>
  <c r="C19" i="12"/>
  <c r="C18" i="12"/>
  <c r="C17" i="12"/>
  <c r="C16" i="12"/>
  <c r="C15" i="12"/>
  <c r="C100" i="11"/>
  <c r="C99" i="11"/>
  <c r="C98" i="11"/>
  <c r="C97" i="11"/>
  <c r="C96" i="11"/>
  <c r="C80" i="11"/>
  <c r="C79" i="11"/>
  <c r="C78" i="11"/>
  <c r="C77" i="11"/>
  <c r="C76" i="11"/>
  <c r="C60" i="11"/>
  <c r="C59" i="11"/>
  <c r="C58" i="11"/>
  <c r="C57" i="11"/>
  <c r="C56" i="11"/>
  <c r="C40" i="11"/>
  <c r="C39" i="11"/>
  <c r="C38" i="11"/>
  <c r="C37" i="11"/>
  <c r="C36" i="11"/>
  <c r="C20" i="11"/>
  <c r="C19" i="11"/>
  <c r="C18" i="11"/>
  <c r="C17" i="11"/>
  <c r="C16" i="11"/>
  <c r="C100" i="10"/>
  <c r="C99" i="10"/>
  <c r="C98" i="10"/>
  <c r="C97" i="10"/>
  <c r="C80" i="10"/>
  <c r="C79" i="10"/>
  <c r="C78" i="10"/>
  <c r="C77" i="10"/>
  <c r="C60" i="10"/>
  <c r="C59" i="10"/>
  <c r="C58" i="10"/>
  <c r="C57" i="10"/>
  <c r="C44" i="10"/>
  <c r="C40" i="10"/>
  <c r="C39" i="10"/>
  <c r="C38" i="10"/>
  <c r="C37" i="10"/>
  <c r="C20" i="10"/>
  <c r="C19" i="10"/>
  <c r="C18" i="10"/>
  <c r="C17" i="10"/>
  <c r="C100" i="9"/>
  <c r="C99" i="9"/>
  <c r="C98" i="9"/>
  <c r="C97" i="9"/>
  <c r="C93" i="9"/>
  <c r="C92" i="9"/>
  <c r="C88" i="9"/>
  <c r="C80" i="9"/>
  <c r="C79" i="9"/>
  <c r="C78" i="9"/>
  <c r="C77" i="9"/>
  <c r="C73" i="9"/>
  <c r="C72" i="9"/>
  <c r="C60" i="9"/>
  <c r="C59" i="9"/>
  <c r="C58" i="9"/>
  <c r="C57" i="9"/>
  <c r="C53" i="9"/>
  <c r="C52" i="9"/>
  <c r="C40" i="9"/>
  <c r="C39" i="9"/>
  <c r="C38" i="9"/>
  <c r="C37" i="9"/>
  <c r="C33" i="9"/>
  <c r="C32" i="9"/>
  <c r="C22" i="9"/>
  <c r="C20" i="9"/>
  <c r="C19" i="9"/>
  <c r="C18" i="9"/>
  <c r="C17" i="9"/>
  <c r="C13" i="9"/>
  <c r="C12" i="9"/>
  <c r="C100" i="2"/>
  <c r="C99" i="2"/>
  <c r="C94" i="2"/>
  <c r="C93" i="2"/>
  <c r="C89" i="2"/>
  <c r="C80" i="2"/>
  <c r="C79" i="2"/>
  <c r="C74" i="2"/>
  <c r="C73" i="2"/>
  <c r="C64" i="2"/>
  <c r="C60" i="2"/>
  <c r="C59" i="2"/>
  <c r="C54" i="2"/>
  <c r="C53" i="2"/>
  <c r="C46" i="2"/>
  <c r="C40" i="2"/>
  <c r="C39" i="2"/>
  <c r="C34" i="2"/>
  <c r="C33" i="2"/>
  <c r="C30" i="2"/>
  <c r="C20" i="2"/>
  <c r="C19" i="2"/>
  <c r="C14" i="2"/>
  <c r="C13" i="2"/>
  <c r="H103" i="1"/>
  <c r="H100" i="1"/>
  <c r="H99" i="1"/>
  <c r="H97" i="1"/>
  <c r="H94" i="1"/>
  <c r="H93" i="1"/>
  <c r="H90" i="1"/>
  <c r="H83" i="1"/>
  <c r="H80" i="1"/>
  <c r="H79" i="1"/>
  <c r="H77" i="1"/>
  <c r="H74" i="1"/>
  <c r="H73" i="1"/>
  <c r="H70" i="1"/>
  <c r="H68" i="1"/>
  <c r="H67" i="1"/>
  <c r="H63" i="1"/>
  <c r="H60" i="1"/>
  <c r="H59" i="1"/>
  <c r="H57" i="1"/>
  <c r="H54" i="1"/>
  <c r="H53" i="1"/>
  <c r="H50" i="1"/>
  <c r="H43" i="1"/>
  <c r="H40" i="1"/>
  <c r="H39" i="1"/>
  <c r="H37" i="1"/>
  <c r="H34" i="1"/>
  <c r="H33" i="1"/>
  <c r="H30" i="1"/>
  <c r="H27" i="1"/>
  <c r="H23" i="1"/>
  <c r="H20" i="1"/>
  <c r="H19" i="1"/>
  <c r="H17" i="1"/>
  <c r="H14" i="1"/>
  <c r="H13" i="1"/>
  <c r="H10" i="1"/>
  <c r="H3" i="1"/>
  <c r="G103" i="1"/>
  <c r="C103" i="14" s="1"/>
  <c r="G102" i="1"/>
  <c r="C102" i="14" s="1"/>
  <c r="G101" i="1"/>
  <c r="C101" i="14" s="1"/>
  <c r="G100" i="1"/>
  <c r="C100" i="14" s="1"/>
  <c r="G99" i="1"/>
  <c r="G98" i="1"/>
  <c r="C98" i="14" s="1"/>
  <c r="G97" i="1"/>
  <c r="C97" i="2" s="1"/>
  <c r="G96" i="1"/>
  <c r="C96" i="10" s="1"/>
  <c r="G95" i="1"/>
  <c r="C95" i="11" s="1"/>
  <c r="G94" i="1"/>
  <c r="C94" i="12" s="1"/>
  <c r="G93" i="1"/>
  <c r="C93" i="13" s="1"/>
  <c r="G92" i="1"/>
  <c r="C92" i="14" s="1"/>
  <c r="G91" i="1"/>
  <c r="C91" i="14" s="1"/>
  <c r="G90" i="1"/>
  <c r="C90" i="14" s="1"/>
  <c r="G89" i="1"/>
  <c r="H89" i="1" s="1"/>
  <c r="G88" i="1"/>
  <c r="C88" i="2" s="1"/>
  <c r="G87" i="1"/>
  <c r="C87" i="9" s="1"/>
  <c r="G86" i="1"/>
  <c r="C86" i="11" s="1"/>
  <c r="G85" i="1"/>
  <c r="C85" i="12" s="1"/>
  <c r="G84" i="1"/>
  <c r="C84" i="13" s="1"/>
  <c r="G83" i="1"/>
  <c r="C83" i="14" s="1"/>
  <c r="G82" i="1"/>
  <c r="C82" i="14" s="1"/>
  <c r="G81" i="1"/>
  <c r="C81" i="14" s="1"/>
  <c r="G80" i="1"/>
  <c r="C80" i="14" s="1"/>
  <c r="G79" i="1"/>
  <c r="G78" i="1"/>
  <c r="C78" i="14" s="1"/>
  <c r="G77" i="1"/>
  <c r="C77" i="2" s="1"/>
  <c r="G76" i="1"/>
  <c r="C76" i="10" s="1"/>
  <c r="G75" i="1"/>
  <c r="C75" i="11" s="1"/>
  <c r="G74" i="1"/>
  <c r="C74" i="12" s="1"/>
  <c r="G73" i="1"/>
  <c r="C73" i="13" s="1"/>
  <c r="G72" i="1"/>
  <c r="C72" i="14" s="1"/>
  <c r="G71" i="1"/>
  <c r="C71" i="14" s="1"/>
  <c r="G70" i="1"/>
  <c r="C70" i="14" s="1"/>
  <c r="G69" i="1"/>
  <c r="H69" i="1" s="1"/>
  <c r="G68" i="1"/>
  <c r="C68" i="2" s="1"/>
  <c r="G67" i="1"/>
  <c r="C67" i="9" s="1"/>
  <c r="G66" i="1"/>
  <c r="C66" i="10" s="1"/>
  <c r="G65" i="1"/>
  <c r="C65" i="12" s="1"/>
  <c r="G64" i="1"/>
  <c r="C64" i="13" s="1"/>
  <c r="G63" i="1"/>
  <c r="C63" i="14" s="1"/>
  <c r="G62" i="1"/>
  <c r="C62" i="14" s="1"/>
  <c r="G61" i="1"/>
  <c r="C61" i="14" s="1"/>
  <c r="G60" i="1"/>
  <c r="C60" i="14" s="1"/>
  <c r="G59" i="1"/>
  <c r="G58" i="1"/>
  <c r="C58" i="14" s="1"/>
  <c r="G57" i="1"/>
  <c r="C57" i="2" s="1"/>
  <c r="G56" i="1"/>
  <c r="C56" i="10" s="1"/>
  <c r="G55" i="1"/>
  <c r="C55" i="11" s="1"/>
  <c r="G54" i="1"/>
  <c r="C54" i="12" s="1"/>
  <c r="G53" i="1"/>
  <c r="C53" i="13" s="1"/>
  <c r="G52" i="1"/>
  <c r="C52" i="14" s="1"/>
  <c r="G51" i="1"/>
  <c r="C51" i="14" s="1"/>
  <c r="G50" i="1"/>
  <c r="C50" i="14" s="1"/>
  <c r="G49" i="1"/>
  <c r="H49" i="1" s="1"/>
  <c r="G48" i="1"/>
  <c r="H48" i="1" s="1"/>
  <c r="G47" i="1"/>
  <c r="C47" i="2" s="1"/>
  <c r="G46" i="1"/>
  <c r="C46" i="10" s="1"/>
  <c r="G45" i="1"/>
  <c r="C45" i="12" s="1"/>
  <c r="G44" i="1"/>
  <c r="C44" i="13" s="1"/>
  <c r="G43" i="1"/>
  <c r="C43" i="14" s="1"/>
  <c r="G42" i="1"/>
  <c r="C42" i="14" s="1"/>
  <c r="G41" i="1"/>
  <c r="C41" i="14" s="1"/>
  <c r="G40" i="1"/>
  <c r="C40" i="14" s="1"/>
  <c r="G39" i="1"/>
  <c r="G38" i="1"/>
  <c r="C38" i="14" s="1"/>
  <c r="G37" i="1"/>
  <c r="C37" i="2" s="1"/>
  <c r="G36" i="1"/>
  <c r="C36" i="10" s="1"/>
  <c r="G35" i="1"/>
  <c r="C35" i="11" s="1"/>
  <c r="G34" i="1"/>
  <c r="C34" i="12" s="1"/>
  <c r="G33" i="1"/>
  <c r="C33" i="13" s="1"/>
  <c r="G32" i="1"/>
  <c r="C32" i="14" s="1"/>
  <c r="G31" i="1"/>
  <c r="C31" i="14" s="1"/>
  <c r="G30" i="1"/>
  <c r="C30" i="14" s="1"/>
  <c r="G29" i="1"/>
  <c r="H29" i="1" s="1"/>
  <c r="G28" i="1"/>
  <c r="C28" i="2" s="1"/>
  <c r="G27" i="1"/>
  <c r="C27" i="10" s="1"/>
  <c r="G26" i="1"/>
  <c r="C26" i="10" s="1"/>
  <c r="G25" i="1"/>
  <c r="C25" i="12" s="1"/>
  <c r="G24" i="1"/>
  <c r="C24" i="13" s="1"/>
  <c r="G23" i="1"/>
  <c r="C23" i="14" s="1"/>
  <c r="G22" i="1"/>
  <c r="C22" i="14" s="1"/>
  <c r="G21" i="1"/>
  <c r="C21" i="14" s="1"/>
  <c r="G20" i="1"/>
  <c r="C20" i="14" s="1"/>
  <c r="G19" i="1"/>
  <c r="G18" i="1"/>
  <c r="C18" i="14" s="1"/>
  <c r="G17" i="1"/>
  <c r="C17" i="2" s="1"/>
  <c r="G16" i="1"/>
  <c r="C16" i="10" s="1"/>
  <c r="G15" i="1"/>
  <c r="C15" i="11" s="1"/>
  <c r="G14" i="1"/>
  <c r="C14" i="12" s="1"/>
  <c r="G13" i="1"/>
  <c r="C13" i="13" s="1"/>
  <c r="G12" i="1"/>
  <c r="C12" i="14" s="1"/>
  <c r="G11" i="1"/>
  <c r="C11" i="14" s="1"/>
  <c r="G10" i="1"/>
  <c r="C10" i="14" s="1"/>
  <c r="G9" i="1"/>
  <c r="H9" i="1" s="1"/>
  <c r="G8" i="1"/>
  <c r="C8" i="2" s="1"/>
  <c r="G7" i="1"/>
  <c r="C7" i="9" s="1"/>
  <c r="G6" i="1"/>
  <c r="C6" i="9" s="1"/>
  <c r="G5" i="1"/>
  <c r="C5" i="12" s="1"/>
  <c r="G4" i="1"/>
  <c r="C4" i="13" s="1"/>
  <c r="G3" i="1"/>
  <c r="C3" i="14" s="1"/>
  <c r="H65" i="1" l="1"/>
  <c r="C63" i="9"/>
  <c r="H46" i="1"/>
  <c r="C5" i="2"/>
  <c r="C45" i="2"/>
  <c r="C47" i="10"/>
  <c r="C66" i="11"/>
  <c r="H31" i="1"/>
  <c r="H71" i="1"/>
  <c r="H91" i="1"/>
  <c r="C10" i="2"/>
  <c r="C50" i="2"/>
  <c r="C70" i="2"/>
  <c r="C90" i="2"/>
  <c r="C9" i="9"/>
  <c r="C29" i="9"/>
  <c r="C49" i="9"/>
  <c r="C69" i="9"/>
  <c r="C89" i="9"/>
  <c r="C8" i="10"/>
  <c r="C28" i="10"/>
  <c r="C48" i="10"/>
  <c r="C68" i="10"/>
  <c r="C88" i="10"/>
  <c r="C7" i="11"/>
  <c r="C27" i="11"/>
  <c r="C47" i="11"/>
  <c r="C67" i="11"/>
  <c r="C87" i="11"/>
  <c r="C6" i="12"/>
  <c r="C26" i="12"/>
  <c r="C46" i="12"/>
  <c r="C66" i="12"/>
  <c r="C86" i="12"/>
  <c r="C5" i="13"/>
  <c r="C25" i="13"/>
  <c r="C45" i="13"/>
  <c r="C65" i="13"/>
  <c r="C85" i="13"/>
  <c r="C4" i="14"/>
  <c r="C24" i="14"/>
  <c r="C44" i="14"/>
  <c r="C64" i="14"/>
  <c r="C84" i="14"/>
  <c r="H24" i="1"/>
  <c r="C21" i="10"/>
  <c r="C87" i="2"/>
  <c r="C66" i="9"/>
  <c r="C45" i="10"/>
  <c r="C67" i="10"/>
  <c r="C26" i="11"/>
  <c r="H12" i="1"/>
  <c r="H32" i="1"/>
  <c r="H52" i="1"/>
  <c r="H72" i="1"/>
  <c r="H92" i="1"/>
  <c r="C11" i="2"/>
  <c r="C31" i="2"/>
  <c r="C51" i="2"/>
  <c r="C71" i="2"/>
  <c r="C91" i="2"/>
  <c r="C10" i="9"/>
  <c r="C30" i="9"/>
  <c r="C50" i="9"/>
  <c r="C70" i="9"/>
  <c r="C90" i="9"/>
  <c r="C9" i="10"/>
  <c r="C29" i="10"/>
  <c r="C49" i="10"/>
  <c r="C69" i="10"/>
  <c r="C89" i="10"/>
  <c r="C8" i="11"/>
  <c r="C28" i="11"/>
  <c r="C48" i="11"/>
  <c r="C68" i="11"/>
  <c r="C88" i="11"/>
  <c r="C7" i="12"/>
  <c r="C27" i="12"/>
  <c r="C47" i="12"/>
  <c r="C67" i="12"/>
  <c r="C87" i="12"/>
  <c r="C6" i="13"/>
  <c r="C26" i="13"/>
  <c r="C46" i="13"/>
  <c r="C66" i="13"/>
  <c r="C86" i="13"/>
  <c r="C5" i="14"/>
  <c r="C25" i="14"/>
  <c r="C45" i="14"/>
  <c r="C65" i="14"/>
  <c r="C85" i="14"/>
  <c r="H21" i="1"/>
  <c r="C41" i="9"/>
  <c r="H84" i="1"/>
  <c r="C23" i="2"/>
  <c r="C43" i="2"/>
  <c r="C83" i="2"/>
  <c r="C3" i="9"/>
  <c r="C65" i="2"/>
  <c r="H87" i="1"/>
  <c r="C5" i="9"/>
  <c r="H8" i="1"/>
  <c r="C26" i="9"/>
  <c r="C65" i="10"/>
  <c r="C4" i="11"/>
  <c r="C64" i="11"/>
  <c r="C9" i="2"/>
  <c r="C29" i="2"/>
  <c r="C28" i="9"/>
  <c r="C87" i="10"/>
  <c r="C6" i="11"/>
  <c r="C46" i="11"/>
  <c r="H11" i="1"/>
  <c r="H51" i="1"/>
  <c r="C12" i="2"/>
  <c r="C32" i="2"/>
  <c r="C52" i="2"/>
  <c r="C72" i="2"/>
  <c r="C92" i="2"/>
  <c r="C11" i="9"/>
  <c r="C31" i="9"/>
  <c r="C51" i="9"/>
  <c r="C71" i="9"/>
  <c r="C91" i="9"/>
  <c r="C10" i="10"/>
  <c r="C30" i="10"/>
  <c r="C50" i="10"/>
  <c r="C70" i="10"/>
  <c r="C90" i="10"/>
  <c r="C9" i="11"/>
  <c r="C29" i="11"/>
  <c r="C49" i="11"/>
  <c r="C69" i="11"/>
  <c r="C89" i="11"/>
  <c r="C8" i="12"/>
  <c r="C28" i="12"/>
  <c r="C48" i="12"/>
  <c r="C68" i="12"/>
  <c r="C88" i="12"/>
  <c r="C7" i="13"/>
  <c r="C27" i="13"/>
  <c r="C47" i="13"/>
  <c r="C67" i="13"/>
  <c r="C87" i="13"/>
  <c r="C6" i="14"/>
  <c r="C26" i="14"/>
  <c r="C46" i="14"/>
  <c r="C66" i="14"/>
  <c r="C86" i="14"/>
  <c r="C11" i="10"/>
  <c r="C31" i="10"/>
  <c r="C51" i="10"/>
  <c r="C71" i="10"/>
  <c r="C91" i="10"/>
  <c r="C10" i="11"/>
  <c r="C30" i="11"/>
  <c r="C50" i="11"/>
  <c r="C70" i="11"/>
  <c r="C90" i="11"/>
  <c r="C9" i="12"/>
  <c r="C29" i="12"/>
  <c r="C49" i="12"/>
  <c r="C69" i="12"/>
  <c r="C89" i="12"/>
  <c r="C8" i="13"/>
  <c r="C28" i="13"/>
  <c r="C48" i="13"/>
  <c r="C68" i="13"/>
  <c r="C88" i="13"/>
  <c r="C7" i="14"/>
  <c r="C27" i="14"/>
  <c r="C47" i="14"/>
  <c r="C67" i="14"/>
  <c r="C87" i="14"/>
  <c r="H28" i="1"/>
  <c r="C46" i="9"/>
  <c r="C69" i="2"/>
  <c r="C8" i="9"/>
  <c r="C68" i="9"/>
  <c r="H15" i="1"/>
  <c r="H35" i="1"/>
  <c r="H55" i="1"/>
  <c r="H75" i="1"/>
  <c r="H95" i="1"/>
  <c r="C12" i="10"/>
  <c r="C32" i="10"/>
  <c r="C52" i="10"/>
  <c r="C72" i="10"/>
  <c r="C92" i="10"/>
  <c r="C11" i="11"/>
  <c r="C31" i="11"/>
  <c r="C51" i="11"/>
  <c r="C71" i="11"/>
  <c r="C91" i="11"/>
  <c r="C10" i="12"/>
  <c r="C30" i="12"/>
  <c r="C50" i="12"/>
  <c r="C70" i="12"/>
  <c r="C90" i="12"/>
  <c r="C9" i="13"/>
  <c r="C29" i="13"/>
  <c r="C49" i="13"/>
  <c r="C69" i="13"/>
  <c r="C89" i="13"/>
  <c r="C8" i="14"/>
  <c r="C28" i="14"/>
  <c r="C48" i="14"/>
  <c r="C68" i="14"/>
  <c r="C88" i="14"/>
  <c r="H81" i="1"/>
  <c r="C66" i="2"/>
  <c r="C44" i="11"/>
  <c r="C49" i="2"/>
  <c r="C48" i="9"/>
  <c r="H16" i="1"/>
  <c r="H36" i="1"/>
  <c r="H56" i="1"/>
  <c r="H76" i="1"/>
  <c r="H96" i="1"/>
  <c r="C15" i="2"/>
  <c r="C35" i="2"/>
  <c r="C55" i="2"/>
  <c r="C75" i="2"/>
  <c r="C95" i="2"/>
  <c r="C14" i="9"/>
  <c r="C34" i="9"/>
  <c r="C54" i="9"/>
  <c r="C74" i="9"/>
  <c r="C94" i="9"/>
  <c r="C13" i="10"/>
  <c r="C33" i="10"/>
  <c r="C53" i="10"/>
  <c r="C73" i="10"/>
  <c r="C93" i="10"/>
  <c r="C12" i="11"/>
  <c r="C32" i="11"/>
  <c r="C52" i="11"/>
  <c r="C72" i="11"/>
  <c r="C92" i="11"/>
  <c r="C11" i="12"/>
  <c r="C31" i="12"/>
  <c r="C51" i="12"/>
  <c r="C71" i="12"/>
  <c r="C91" i="12"/>
  <c r="C10" i="13"/>
  <c r="C30" i="13"/>
  <c r="C50" i="13"/>
  <c r="C70" i="13"/>
  <c r="C90" i="13"/>
  <c r="C9" i="14"/>
  <c r="C29" i="14"/>
  <c r="C49" i="14"/>
  <c r="C69" i="14"/>
  <c r="C89" i="14"/>
  <c r="C42" i="9"/>
  <c r="C44" i="2"/>
  <c r="C83" i="9"/>
  <c r="H6" i="1"/>
  <c r="H66" i="1"/>
  <c r="C24" i="9"/>
  <c r="C7" i="2"/>
  <c r="C27" i="2"/>
  <c r="C86" i="9"/>
  <c r="C5" i="10"/>
  <c r="C25" i="10"/>
  <c r="C7" i="10"/>
  <c r="C16" i="2"/>
  <c r="C36" i="2"/>
  <c r="C56" i="2"/>
  <c r="C96" i="2"/>
  <c r="C15" i="9"/>
  <c r="C35" i="9"/>
  <c r="C55" i="9"/>
  <c r="C75" i="9"/>
  <c r="C95" i="9"/>
  <c r="C14" i="10"/>
  <c r="C34" i="10"/>
  <c r="C54" i="10"/>
  <c r="C74" i="10"/>
  <c r="C94" i="10"/>
  <c r="C13" i="11"/>
  <c r="C33" i="11"/>
  <c r="C53" i="11"/>
  <c r="C73" i="11"/>
  <c r="C93" i="11"/>
  <c r="C12" i="12"/>
  <c r="C32" i="12"/>
  <c r="C52" i="12"/>
  <c r="C72" i="12"/>
  <c r="C92" i="12"/>
  <c r="C11" i="13"/>
  <c r="C31" i="13"/>
  <c r="C51" i="13"/>
  <c r="C71" i="13"/>
  <c r="C91" i="13"/>
  <c r="C76" i="2"/>
  <c r="H18" i="1"/>
  <c r="H38" i="1"/>
  <c r="H58" i="1"/>
  <c r="H78" i="1"/>
  <c r="H98" i="1"/>
  <c r="C16" i="9"/>
  <c r="C36" i="9"/>
  <c r="C56" i="9"/>
  <c r="C76" i="9"/>
  <c r="C96" i="9"/>
  <c r="C15" i="10"/>
  <c r="C35" i="10"/>
  <c r="C55" i="10"/>
  <c r="C75" i="10"/>
  <c r="C95" i="10"/>
  <c r="C14" i="11"/>
  <c r="C34" i="11"/>
  <c r="C54" i="11"/>
  <c r="C74" i="11"/>
  <c r="C94" i="11"/>
  <c r="C13" i="12"/>
  <c r="C33" i="12"/>
  <c r="C53" i="12"/>
  <c r="C73" i="12"/>
  <c r="C93" i="12"/>
  <c r="C12" i="13"/>
  <c r="C32" i="13"/>
  <c r="C52" i="13"/>
  <c r="C72" i="13"/>
  <c r="C92" i="13"/>
  <c r="C18" i="2"/>
  <c r="C38" i="2"/>
  <c r="C58" i="2"/>
  <c r="C78" i="2"/>
  <c r="C98" i="2"/>
  <c r="H61" i="1"/>
  <c r="H22" i="1"/>
  <c r="H42" i="1"/>
  <c r="H62" i="1"/>
  <c r="H82" i="1"/>
  <c r="H102" i="1"/>
  <c r="C21" i="2"/>
  <c r="C41" i="2"/>
  <c r="C61" i="2"/>
  <c r="C81" i="2"/>
  <c r="C101" i="2"/>
  <c r="C82" i="2"/>
  <c r="C81" i="9"/>
  <c r="H44" i="1"/>
  <c r="C3" i="2"/>
  <c r="C63" i="2"/>
  <c r="C103" i="2"/>
  <c r="C82" i="9"/>
  <c r="C41" i="10"/>
  <c r="C61" i="10"/>
  <c r="C81" i="10"/>
  <c r="C101" i="10"/>
  <c r="H4" i="1"/>
  <c r="C62" i="9"/>
  <c r="H85" i="1"/>
  <c r="C4" i="2"/>
  <c r="C24" i="2"/>
  <c r="C84" i="2"/>
  <c r="C23" i="9"/>
  <c r="C103" i="9"/>
  <c r="C22" i="10"/>
  <c r="C42" i="10"/>
  <c r="C62" i="10"/>
  <c r="C82" i="10"/>
  <c r="C102" i="10"/>
  <c r="C21" i="11"/>
  <c r="C41" i="11"/>
  <c r="C61" i="11"/>
  <c r="C81" i="11"/>
  <c r="C101" i="11"/>
  <c r="H64" i="1"/>
  <c r="C102" i="9"/>
  <c r="H5" i="1"/>
  <c r="H25" i="1"/>
  <c r="H45" i="1"/>
  <c r="H86" i="1"/>
  <c r="C25" i="2"/>
  <c r="C85" i="2"/>
  <c r="C4" i="9"/>
  <c r="C44" i="9"/>
  <c r="C84" i="9"/>
  <c r="C3" i="10"/>
  <c r="C23" i="10"/>
  <c r="C43" i="10"/>
  <c r="C63" i="10"/>
  <c r="C83" i="10"/>
  <c r="C103" i="10"/>
  <c r="C22" i="11"/>
  <c r="C42" i="11"/>
  <c r="C62" i="11"/>
  <c r="C82" i="11"/>
  <c r="C102" i="11"/>
  <c r="C21" i="12"/>
  <c r="C41" i="12"/>
  <c r="C61" i="12"/>
  <c r="C81" i="12"/>
  <c r="C101" i="12"/>
  <c r="C43" i="9"/>
  <c r="H26" i="1"/>
  <c r="C85" i="9"/>
  <c r="C4" i="10"/>
  <c r="C24" i="10"/>
  <c r="C84" i="10"/>
  <c r="C3" i="11"/>
  <c r="C23" i="11"/>
  <c r="C43" i="11"/>
  <c r="C63" i="11"/>
  <c r="C83" i="11"/>
  <c r="C103" i="11"/>
  <c r="C22" i="12"/>
  <c r="C42" i="12"/>
  <c r="C62" i="12"/>
  <c r="C82" i="12"/>
  <c r="C102" i="12"/>
  <c r="C21" i="13"/>
  <c r="C41" i="13"/>
  <c r="C61" i="13"/>
  <c r="C81" i="13"/>
  <c r="C101" i="13"/>
  <c r="H41" i="1"/>
  <c r="H101" i="1"/>
  <c r="C22" i="2"/>
  <c r="C42" i="2"/>
  <c r="C62" i="2"/>
  <c r="C102" i="2"/>
  <c r="C21" i="9"/>
  <c r="C61" i="9"/>
  <c r="C101" i="9"/>
  <c r="C64" i="9"/>
  <c r="H7" i="1"/>
  <c r="H47" i="1"/>
  <c r="C6" i="2"/>
  <c r="C26" i="2"/>
  <c r="C86" i="2"/>
  <c r="C25" i="9"/>
  <c r="C45" i="9"/>
  <c r="C65" i="9"/>
  <c r="C64" i="10"/>
  <c r="H88" i="1"/>
  <c r="C67" i="2"/>
  <c r="C85" i="10"/>
  <c r="C24" i="11"/>
  <c r="C84" i="11"/>
  <c r="C3" i="12"/>
  <c r="C23" i="12"/>
  <c r="C43" i="12"/>
  <c r="C63" i="12"/>
  <c r="C103" i="12"/>
  <c r="C22" i="13"/>
  <c r="C42" i="13"/>
  <c r="C62" i="13"/>
  <c r="C82" i="13"/>
  <c r="C102" i="13"/>
  <c r="C48" i="2"/>
  <c r="C27" i="9"/>
  <c r="C47" i="9"/>
  <c r="C6" i="10"/>
  <c r="C86" i="10"/>
  <c r="C5" i="11"/>
  <c r="C25" i="11"/>
  <c r="C45" i="11"/>
  <c r="C65" i="11"/>
  <c r="C85" i="11"/>
  <c r="C4" i="12"/>
  <c r="C24" i="12"/>
  <c r="C44" i="12"/>
  <c r="C64" i="12"/>
  <c r="C84" i="12"/>
  <c r="C3" i="13"/>
  <c r="C23" i="13"/>
  <c r="C43" i="13"/>
  <c r="C63" i="13"/>
  <c r="C83" i="13"/>
  <c r="C103" i="13"/>
</calcChain>
</file>

<file path=xl/sharedStrings.xml><?xml version="1.0" encoding="utf-8"?>
<sst xmlns="http://schemas.openxmlformats.org/spreadsheetml/2006/main" count="50" uniqueCount="12">
  <si>
    <t>Time [s]</t>
  </si>
  <si>
    <t>Revolution speed RPM</t>
  </si>
  <si>
    <t>Torque [Nm]</t>
  </si>
  <si>
    <t>El. Power [W]</t>
  </si>
  <si>
    <t>Voltage [V]</t>
  </si>
  <si>
    <t>Current [A]</t>
  </si>
  <si>
    <t>Rotor Position -9°</t>
  </si>
  <si>
    <t>Angle [Deg]</t>
  </si>
  <si>
    <t>Angle Abs [Deg]</t>
  </si>
  <si>
    <t>Angle Rotor 2 [Deg]</t>
  </si>
  <si>
    <t>Angle Rotor 1 [Deg]</t>
  </si>
  <si>
    <t>Torque Rotor 1 [Nm]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</si>
</sst>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1" fillId="0" borderId="0" xfId="0" applyFont="1"/>
    <xf numFmtId="0" fontId="0" fillId="0" borderId="1" xfId="0" applyFill="1" applyBorder="1"/>
    <xf numFmtId="0" fontId="0" fillId="0" borderId="0" xfId="0" applyBorder="1"/>
    <xf numFmtId="0" fontId="0" fillId="0" borderId="0" xfId="0" applyBorder="1" applyAlignment="1">
      <alignment horizontal="center"/>
    </xf>
    <xf numFmtId="1" fontId="0" fillId="0" borderId="1" xfId="0" applyNumberFormat="1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'Motion Profile'!$C$2</c:f>
              <c:strCache>
                <c:ptCount val="1"/>
                <c:pt idx="0">
                  <c:v>Revolution speed RPM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'Motion Profile'!$B$3:$B$15</c:f>
              <c:numCache>
                <c:formatCode>General</c:formatCode>
                <c:ptCount val="13"/>
                <c:pt idx="0">
                  <c:v>0</c:v>
                </c:pt>
                <c:pt idx="1">
                  <c:v>4.1666669999999998E-3</c:v>
                </c:pt>
                <c:pt idx="2">
                  <c:v>1.2500000000000001E-2</c:v>
                </c:pt>
                <c:pt idx="3">
                  <c:v>1.6666670000000001E-2</c:v>
                </c:pt>
                <c:pt idx="4">
                  <c:v>2.0833330000000001E-2</c:v>
                </c:pt>
                <c:pt idx="5">
                  <c:v>2.9166669999999999E-2</c:v>
                </c:pt>
                <c:pt idx="6">
                  <c:v>3.3333300000000003E-2</c:v>
                </c:pt>
                <c:pt idx="7">
                  <c:v>3.7499999999999999E-2</c:v>
                </c:pt>
                <c:pt idx="8">
                  <c:v>4.5833329999999999E-2</c:v>
                </c:pt>
                <c:pt idx="9">
                  <c:v>0.05</c:v>
                </c:pt>
                <c:pt idx="10">
                  <c:v>5.416667E-2</c:v>
                </c:pt>
                <c:pt idx="11">
                  <c:v>6.25E-2</c:v>
                </c:pt>
                <c:pt idx="12">
                  <c:v>6.6666699999999995E-2</c:v>
                </c:pt>
              </c:numCache>
            </c:numRef>
          </c:xVal>
          <c:yVal>
            <c:numRef>
              <c:f>'Motion Profile'!$C$3:$C$15</c:f>
              <c:numCache>
                <c:formatCode>General</c:formatCode>
                <c:ptCount val="13"/>
                <c:pt idx="0">
                  <c:v>0</c:v>
                </c:pt>
                <c:pt idx="1">
                  <c:v>-280</c:v>
                </c:pt>
                <c:pt idx="2">
                  <c:v>-200</c:v>
                </c:pt>
                <c:pt idx="3">
                  <c:v>0</c:v>
                </c:pt>
                <c:pt idx="4">
                  <c:v>280</c:v>
                </c:pt>
                <c:pt idx="5">
                  <c:v>200</c:v>
                </c:pt>
                <c:pt idx="6">
                  <c:v>0</c:v>
                </c:pt>
                <c:pt idx="7">
                  <c:v>-280</c:v>
                </c:pt>
                <c:pt idx="8">
                  <c:v>-200</c:v>
                </c:pt>
                <c:pt idx="9">
                  <c:v>0</c:v>
                </c:pt>
                <c:pt idx="10">
                  <c:v>280</c:v>
                </c:pt>
                <c:pt idx="11">
                  <c:v>200</c:v>
                </c:pt>
                <c:pt idx="1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C95-4585-844E-22A169E93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0179007"/>
        <c:axId val="1053892000"/>
      </c:scatterChart>
      <c:valAx>
        <c:axId val="1040179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892000"/>
        <c:crosses val="autoZero"/>
        <c:crossBetween val="midCat"/>
      </c:valAx>
      <c:valAx>
        <c:axId val="1053892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 [RPM]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1790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Angle vs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Rotor 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'Motion Profile'!$E$3:$E$103</c:f>
              <c:numCache>
                <c:formatCode>General</c:formatCode>
                <c:ptCount val="101"/>
                <c:pt idx="0">
                  <c:v>0</c:v>
                </c:pt>
                <c:pt idx="1">
                  <c:v>6.6666670000000003E-4</c:v>
                </c:pt>
                <c:pt idx="2">
                  <c:v>1.3333334000000001E-3</c:v>
                </c:pt>
                <c:pt idx="3">
                  <c:v>2.0000001000000001E-3</c:v>
                </c:pt>
                <c:pt idx="4">
                  <c:v>2.6666668000000001E-3</c:v>
                </c:pt>
                <c:pt idx="5">
                  <c:v>3.3333335000000001E-3</c:v>
                </c:pt>
                <c:pt idx="6">
                  <c:v>4.0000002000000002E-3</c:v>
                </c:pt>
                <c:pt idx="7">
                  <c:v>4.6666668999999997E-3</c:v>
                </c:pt>
                <c:pt idx="8">
                  <c:v>5.3333336000000002E-3</c:v>
                </c:pt>
                <c:pt idx="9">
                  <c:v>6.0000002999999998E-3</c:v>
                </c:pt>
                <c:pt idx="10">
                  <c:v>6.6666670000000003E-3</c:v>
                </c:pt>
                <c:pt idx="11">
                  <c:v>7.3333336999999998E-3</c:v>
                </c:pt>
                <c:pt idx="12">
                  <c:v>8.0000004000000003E-3</c:v>
                </c:pt>
                <c:pt idx="13">
                  <c:v>8.6666671000000008E-3</c:v>
                </c:pt>
                <c:pt idx="14">
                  <c:v>9.3333337999999995E-3</c:v>
                </c:pt>
                <c:pt idx="15">
                  <c:v>1.00000005E-2</c:v>
                </c:pt>
                <c:pt idx="16">
                  <c:v>1.06666672E-2</c:v>
                </c:pt>
                <c:pt idx="17">
                  <c:v>1.1333333900000001E-2</c:v>
                </c:pt>
                <c:pt idx="18">
                  <c:v>1.20000006E-2</c:v>
                </c:pt>
                <c:pt idx="19">
                  <c:v>1.26666673E-2</c:v>
                </c:pt>
                <c:pt idx="20">
                  <c:v>1.3333334000000001E-2</c:v>
                </c:pt>
                <c:pt idx="21">
                  <c:v>1.4000000699999999E-2</c:v>
                </c:pt>
                <c:pt idx="22">
                  <c:v>1.46666674E-2</c:v>
                </c:pt>
                <c:pt idx="23">
                  <c:v>1.53333341E-2</c:v>
                </c:pt>
                <c:pt idx="24">
                  <c:v>1.6000000800000001E-2</c:v>
                </c:pt>
                <c:pt idx="25">
                  <c:v>1.6666667499999999E-2</c:v>
                </c:pt>
                <c:pt idx="26">
                  <c:v>1.7333334200000002E-2</c:v>
                </c:pt>
                <c:pt idx="27">
                  <c:v>1.80000009E-2</c:v>
                </c:pt>
                <c:pt idx="28">
                  <c:v>1.8666667599999999E-2</c:v>
                </c:pt>
                <c:pt idx="29">
                  <c:v>1.9333334300000001E-2</c:v>
                </c:pt>
                <c:pt idx="30">
                  <c:v>2.0000001E-2</c:v>
                </c:pt>
                <c:pt idx="31">
                  <c:v>2.0666667699999999E-2</c:v>
                </c:pt>
                <c:pt idx="32">
                  <c:v>2.1333334400000001E-2</c:v>
                </c:pt>
                <c:pt idx="33">
                  <c:v>2.20000011E-2</c:v>
                </c:pt>
                <c:pt idx="34">
                  <c:v>2.2666667800000002E-2</c:v>
                </c:pt>
                <c:pt idx="35">
                  <c:v>2.33333345E-2</c:v>
                </c:pt>
                <c:pt idx="36">
                  <c:v>2.4000001199999999E-2</c:v>
                </c:pt>
                <c:pt idx="37">
                  <c:v>2.4666667900000001E-2</c:v>
                </c:pt>
                <c:pt idx="38">
                  <c:v>2.53333346E-2</c:v>
                </c:pt>
                <c:pt idx="39">
                  <c:v>2.6000001299999999E-2</c:v>
                </c:pt>
                <c:pt idx="40">
                  <c:v>2.6666668000000001E-2</c:v>
                </c:pt>
                <c:pt idx="41">
                  <c:v>2.73333347E-2</c:v>
                </c:pt>
                <c:pt idx="42">
                  <c:v>2.8000001399999998E-2</c:v>
                </c:pt>
                <c:pt idx="43">
                  <c:v>2.8666668100000001E-2</c:v>
                </c:pt>
                <c:pt idx="44">
                  <c:v>2.9333334799999999E-2</c:v>
                </c:pt>
                <c:pt idx="45">
                  <c:v>3.0000001500000002E-2</c:v>
                </c:pt>
                <c:pt idx="46">
                  <c:v>3.06666682E-2</c:v>
                </c:pt>
                <c:pt idx="47">
                  <c:v>3.1333334900000002E-2</c:v>
                </c:pt>
                <c:pt idx="48">
                  <c:v>3.2000001600000001E-2</c:v>
                </c:pt>
                <c:pt idx="49">
                  <c:v>3.26666683E-2</c:v>
                </c:pt>
                <c:pt idx="50">
                  <c:v>3.3333334999999999E-2</c:v>
                </c:pt>
                <c:pt idx="51">
                  <c:v>3.4000001699999997E-2</c:v>
                </c:pt>
                <c:pt idx="52">
                  <c:v>3.4666668400000003E-2</c:v>
                </c:pt>
                <c:pt idx="53">
                  <c:v>3.5333335100000002E-2</c:v>
                </c:pt>
                <c:pt idx="54">
                  <c:v>3.60000018E-2</c:v>
                </c:pt>
                <c:pt idx="55">
                  <c:v>3.6666668499999999E-2</c:v>
                </c:pt>
                <c:pt idx="56">
                  <c:v>3.7333335199999998E-2</c:v>
                </c:pt>
                <c:pt idx="57">
                  <c:v>3.8000001899999997E-2</c:v>
                </c:pt>
                <c:pt idx="58">
                  <c:v>3.8666668600000002E-2</c:v>
                </c:pt>
                <c:pt idx="59">
                  <c:v>3.9333335300000001E-2</c:v>
                </c:pt>
                <c:pt idx="60">
                  <c:v>4.0000002E-2</c:v>
                </c:pt>
                <c:pt idx="61">
                  <c:v>4.0666668699999999E-2</c:v>
                </c:pt>
                <c:pt idx="62">
                  <c:v>4.1333335399999997E-2</c:v>
                </c:pt>
                <c:pt idx="63">
                  <c:v>4.2000002100000003E-2</c:v>
                </c:pt>
                <c:pt idx="64">
                  <c:v>4.2666668800000002E-2</c:v>
                </c:pt>
                <c:pt idx="65">
                  <c:v>4.33333355E-2</c:v>
                </c:pt>
                <c:pt idx="66">
                  <c:v>4.4000002199999999E-2</c:v>
                </c:pt>
                <c:pt idx="67">
                  <c:v>4.4666668899999998E-2</c:v>
                </c:pt>
                <c:pt idx="68">
                  <c:v>4.5333335600000003E-2</c:v>
                </c:pt>
                <c:pt idx="69">
                  <c:v>4.6000002300000002E-2</c:v>
                </c:pt>
                <c:pt idx="70">
                  <c:v>4.6666669000000001E-2</c:v>
                </c:pt>
                <c:pt idx="71">
                  <c:v>4.73333357E-2</c:v>
                </c:pt>
                <c:pt idx="72">
                  <c:v>4.8000002399999998E-2</c:v>
                </c:pt>
                <c:pt idx="73">
                  <c:v>4.8666669099999997E-2</c:v>
                </c:pt>
                <c:pt idx="74">
                  <c:v>4.9333335800000003E-2</c:v>
                </c:pt>
                <c:pt idx="75">
                  <c:v>5.0000002500000001E-2</c:v>
                </c:pt>
                <c:pt idx="76">
                  <c:v>5.06666692E-2</c:v>
                </c:pt>
                <c:pt idx="77">
                  <c:v>5.1333335899999999E-2</c:v>
                </c:pt>
                <c:pt idx="78">
                  <c:v>5.2000002599999998E-2</c:v>
                </c:pt>
                <c:pt idx="79">
                  <c:v>5.2666669300000003E-2</c:v>
                </c:pt>
                <c:pt idx="80">
                  <c:v>5.3333336000000002E-2</c:v>
                </c:pt>
                <c:pt idx="81">
                  <c:v>5.4000002700000001E-2</c:v>
                </c:pt>
                <c:pt idx="82">
                  <c:v>5.4666669399999999E-2</c:v>
                </c:pt>
                <c:pt idx="83">
                  <c:v>5.5333336099999998E-2</c:v>
                </c:pt>
                <c:pt idx="84">
                  <c:v>5.6000002799999997E-2</c:v>
                </c:pt>
                <c:pt idx="85">
                  <c:v>5.6666669500000003E-2</c:v>
                </c:pt>
                <c:pt idx="86">
                  <c:v>5.7333336200000001E-2</c:v>
                </c:pt>
                <c:pt idx="87">
                  <c:v>5.80000029E-2</c:v>
                </c:pt>
                <c:pt idx="88">
                  <c:v>5.8666669599999999E-2</c:v>
                </c:pt>
                <c:pt idx="89">
                  <c:v>5.9333336299999997E-2</c:v>
                </c:pt>
                <c:pt idx="90">
                  <c:v>6.0000003000000003E-2</c:v>
                </c:pt>
                <c:pt idx="91">
                  <c:v>6.0666669700000002E-2</c:v>
                </c:pt>
                <c:pt idx="92">
                  <c:v>6.1333336400000001E-2</c:v>
                </c:pt>
                <c:pt idx="93">
                  <c:v>6.2000003099999999E-2</c:v>
                </c:pt>
                <c:pt idx="94">
                  <c:v>6.2666669800000005E-2</c:v>
                </c:pt>
                <c:pt idx="95">
                  <c:v>6.3333336500000004E-2</c:v>
                </c:pt>
                <c:pt idx="96">
                  <c:v>6.4000003200000002E-2</c:v>
                </c:pt>
                <c:pt idx="97">
                  <c:v>6.4666669900000001E-2</c:v>
                </c:pt>
                <c:pt idx="98">
                  <c:v>6.53333366E-2</c:v>
                </c:pt>
                <c:pt idx="99">
                  <c:v>6.6000003299999999E-2</c:v>
                </c:pt>
                <c:pt idx="100">
                  <c:v>6.6666669999999997E-2</c:v>
                </c:pt>
              </c:numCache>
            </c:numRef>
          </c:xVal>
          <c:yVal>
            <c:numRef>
              <c:f>'Motion Profile'!$G$3:$G$103</c:f>
              <c:numCache>
                <c:formatCode>0.00</c:formatCode>
                <c:ptCount val="101"/>
                <c:pt idx="0">
                  <c:v>9</c:v>
                </c:pt>
                <c:pt idx="1">
                  <c:v>8.9103999982079998</c:v>
                </c:pt>
                <c:pt idx="2">
                  <c:v>8.6415999928319991</c:v>
                </c:pt>
                <c:pt idx="3">
                  <c:v>8.1935999838719997</c:v>
                </c:pt>
                <c:pt idx="4">
                  <c:v>7.5663999713300001</c:v>
                </c:pt>
                <c:pt idx="5">
                  <c:v>6.7599999551999996</c:v>
                </c:pt>
                <c:pt idx="6">
                  <c:v>5.77439993549</c:v>
                </c:pt>
                <c:pt idx="7">
                  <c:v>4.6671998854099996</c:v>
                </c:pt>
                <c:pt idx="8">
                  <c:v>3.5791998290900002</c:v>
                </c:pt>
                <c:pt idx="9">
                  <c:v>2.5167997763500001</c:v>
                </c:pt>
                <c:pt idx="10">
                  <c:v>1.4799997272000001</c:v>
                </c:pt>
                <c:pt idx="11">
                  <c:v>0.4687996816299993</c:v>
                </c:pt>
                <c:pt idx="12">
                  <c:v>-0.51680036035000043</c:v>
                </c:pt>
                <c:pt idx="13">
                  <c:v>-1.4768003988</c:v>
                </c:pt>
                <c:pt idx="14">
                  <c:v>-2.4112004335999995</c:v>
                </c:pt>
                <c:pt idx="15">
                  <c:v>-3.3200004647999997</c:v>
                </c:pt>
                <c:pt idx="16">
                  <c:v>-4.2032004924000006</c:v>
                </c:pt>
                <c:pt idx="17">
                  <c:v>-5.0608005165000005</c:v>
                </c:pt>
                <c:pt idx="18">
                  <c:v>-5.8928005369999994</c:v>
                </c:pt>
                <c:pt idx="19">
                  <c:v>-6.6960005327999994</c:v>
                </c:pt>
                <c:pt idx="20">
                  <c:v>-7.400000519999999</c:v>
                </c:pt>
                <c:pt idx="21">
                  <c:v>-7.9760005967999987</c:v>
                </c:pt>
                <c:pt idx="22">
                  <c:v>-8.4240007631999987</c:v>
                </c:pt>
                <c:pt idx="23">
                  <c:v>-8.7440010191999988</c:v>
                </c:pt>
                <c:pt idx="24">
                  <c:v>-8.9360013647999992</c:v>
                </c:pt>
                <c:pt idx="25">
                  <c:v>-9.0000017999999997</c:v>
                </c:pt>
                <c:pt idx="26">
                  <c:v>-8.9104023197000011</c:v>
                </c:pt>
                <c:pt idx="27">
                  <c:v>-8.6416025346999987</c:v>
                </c:pt>
                <c:pt idx="28">
                  <c:v>-8.1936024451000016</c:v>
                </c:pt>
                <c:pt idx="29">
                  <c:v>-7.566402050899999</c:v>
                </c:pt>
                <c:pt idx="30">
                  <c:v>-6.7600013519999997</c:v>
                </c:pt>
                <c:pt idx="31">
                  <c:v>-5.7744003485000004</c:v>
                </c:pt>
                <c:pt idx="32">
                  <c:v>-4.6672001289999994</c:v>
                </c:pt>
                <c:pt idx="33">
                  <c:v>-3.5792002186000005</c:v>
                </c:pt>
                <c:pt idx="34">
                  <c:v>-2.5168002902000008</c:v>
                </c:pt>
                <c:pt idx="35">
                  <c:v>-1.4800003440000005</c:v>
                </c:pt>
                <c:pt idx="36">
                  <c:v>-0.46880037983999934</c:v>
                </c:pt>
                <c:pt idx="37">
                  <c:v>0.51679960224000077</c:v>
                </c:pt>
                <c:pt idx="38">
                  <c:v>1.4767996022399998</c:v>
                </c:pt>
                <c:pt idx="39">
                  <c:v>2.4111996201599997</c:v>
                </c:pt>
                <c:pt idx="40">
                  <c:v>3.3199996560000002</c:v>
                </c:pt>
                <c:pt idx="41">
                  <c:v>4.2031997097599998</c:v>
                </c:pt>
                <c:pt idx="42">
                  <c:v>5.0607997814400001</c:v>
                </c:pt>
                <c:pt idx="43">
                  <c:v>5.8927998710399994</c:v>
                </c:pt>
                <c:pt idx="44">
                  <c:v>6.6960000144</c:v>
                </c:pt>
                <c:pt idx="45">
                  <c:v>7.3999995599999995</c:v>
                </c:pt>
                <c:pt idx="46">
                  <c:v>7.9759979663799996</c:v>
                </c:pt>
                <c:pt idx="47">
                  <c:v>8.4239952335569992</c:v>
                </c:pt>
                <c:pt idx="48">
                  <c:v>8.7439913615229994</c:v>
                </c:pt>
                <c:pt idx="49">
                  <c:v>8.9359863502780996</c:v>
                </c:pt>
                <c:pt idx="50">
                  <c:v>8.99998019975307</c:v>
                </c:pt>
                <c:pt idx="51">
                  <c:v>8.9103707899613998</c:v>
                </c:pt>
                <c:pt idx="52">
                  <c:v>8.6415613765860009</c:v>
                </c:pt>
                <c:pt idx="53">
                  <c:v>8.1935519596259994</c:v>
                </c:pt>
                <c:pt idx="54">
                  <c:v>7.5663425390799999</c:v>
                </c:pt>
                <c:pt idx="55">
                  <c:v>6.7599331149499999</c:v>
                </c:pt>
                <c:pt idx="56">
                  <c:v>5.7743236872399999</c:v>
                </c:pt>
                <c:pt idx="57">
                  <c:v>4.6671222934400003</c:v>
                </c:pt>
                <c:pt idx="58">
                  <c:v>3.5791235811200002</c:v>
                </c:pt>
                <c:pt idx="59">
                  <c:v>2.5167248723900002</c:v>
                </c:pt>
                <c:pt idx="60">
                  <c:v>1.4799261672400004</c:v>
                </c:pt>
                <c:pt idx="61">
                  <c:v>0.46872746566999979</c:v>
                </c:pt>
                <c:pt idx="62">
                  <c:v>-0.51687123231999976</c:v>
                </c:pt>
                <c:pt idx="63">
                  <c:v>-1.4768699266999992</c:v>
                </c:pt>
                <c:pt idx="64">
                  <c:v>-2.4112686174999993</c:v>
                </c:pt>
                <c:pt idx="65">
                  <c:v>-3.3200673048000002</c:v>
                </c:pt>
                <c:pt idx="66">
                  <c:v>-4.2032659884000001</c:v>
                </c:pt>
                <c:pt idx="67">
                  <c:v>-5.0608646685000007</c:v>
                </c:pt>
                <c:pt idx="68">
                  <c:v>-5.8928633450000003</c:v>
                </c:pt>
                <c:pt idx="69">
                  <c:v>-6.6960606525999999</c:v>
                </c:pt>
                <c:pt idx="70">
                  <c:v>-7.4000539198000013</c:v>
                </c:pt>
                <c:pt idx="71">
                  <c:v>-7.9760472765999992</c:v>
                </c:pt>
                <c:pt idx="72">
                  <c:v>-8.424040723000001</c:v>
                </c:pt>
                <c:pt idx="73">
                  <c:v>-8.7440342589999993</c:v>
                </c:pt>
                <c:pt idx="74">
                  <c:v>-8.9360278846000014</c:v>
                </c:pt>
                <c:pt idx="75">
                  <c:v>-9.0000215998000002</c:v>
                </c:pt>
                <c:pt idx="76">
                  <c:v>-8.9104127115000011</c:v>
                </c:pt>
                <c:pt idx="77">
                  <c:v>-8.6416035184999984</c:v>
                </c:pt>
                <c:pt idx="78">
                  <c:v>-8.1935940209000009</c:v>
                </c:pt>
                <c:pt idx="79">
                  <c:v>-7.5663842185999997</c:v>
                </c:pt>
                <c:pt idx="80">
                  <c:v>-6.7599741117000001</c:v>
                </c:pt>
                <c:pt idx="81">
                  <c:v>-5.7743637002000003</c:v>
                </c:pt>
                <c:pt idx="82">
                  <c:v>-4.667162137</c:v>
                </c:pt>
                <c:pt idx="83">
                  <c:v>-3.5791635706000005</c:v>
                </c:pt>
                <c:pt idx="84">
                  <c:v>-2.5167649863000001</c:v>
                </c:pt>
                <c:pt idx="85">
                  <c:v>-1.4799663840000008</c:v>
                </c:pt>
                <c:pt idx="86">
                  <c:v>-0.46876776388000074</c:v>
                </c:pt>
                <c:pt idx="87">
                  <c:v>0.51683087420000007</c:v>
                </c:pt>
                <c:pt idx="88">
                  <c:v>1.4768295301999999</c:v>
                </c:pt>
                <c:pt idx="89">
                  <c:v>2.4112282041200004</c:v>
                </c:pt>
                <c:pt idx="90">
                  <c:v>3.3200268959599999</c:v>
                </c:pt>
                <c:pt idx="91">
                  <c:v>4.2032256057300001</c:v>
                </c:pt>
                <c:pt idx="92">
                  <c:v>5.0608243334100003</c:v>
                </c:pt>
                <c:pt idx="93">
                  <c:v>5.8928230790100002</c:v>
                </c:pt>
                <c:pt idx="94">
                  <c:v>6.6960205342299997</c:v>
                </c:pt>
                <c:pt idx="95">
                  <c:v>7.40001335976</c:v>
                </c:pt>
                <c:pt idx="96">
                  <c:v>7.9760050460900001</c:v>
                </c:pt>
                <c:pt idx="97">
                  <c:v>8.4239955932059996</c:v>
                </c:pt>
                <c:pt idx="98">
                  <c:v>8.7439850011119997</c:v>
                </c:pt>
                <c:pt idx="99">
                  <c:v>8.9359732698084002</c:v>
                </c:pt>
                <c:pt idx="100">
                  <c:v>8.9999603990122345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F06-4F52-8E0D-0DBCB5953090}"/>
            </c:ext>
          </c:extLst>
        </c:ser>
        <c:ser>
          <c:idx val="0"/>
          <c:order val="1"/>
          <c:tx>
            <c:v>Rotor 2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'Motion Profile'!$E$3:$E$103</c:f>
              <c:numCache>
                <c:formatCode>General</c:formatCode>
                <c:ptCount val="101"/>
                <c:pt idx="0">
                  <c:v>0</c:v>
                </c:pt>
                <c:pt idx="1">
                  <c:v>6.6666670000000003E-4</c:v>
                </c:pt>
                <c:pt idx="2">
                  <c:v>1.3333334000000001E-3</c:v>
                </c:pt>
                <c:pt idx="3">
                  <c:v>2.0000001000000001E-3</c:v>
                </c:pt>
                <c:pt idx="4">
                  <c:v>2.6666668000000001E-3</c:v>
                </c:pt>
                <c:pt idx="5">
                  <c:v>3.3333335000000001E-3</c:v>
                </c:pt>
                <c:pt idx="6">
                  <c:v>4.0000002000000002E-3</c:v>
                </c:pt>
                <c:pt idx="7">
                  <c:v>4.6666668999999997E-3</c:v>
                </c:pt>
                <c:pt idx="8">
                  <c:v>5.3333336000000002E-3</c:v>
                </c:pt>
                <c:pt idx="9">
                  <c:v>6.0000002999999998E-3</c:v>
                </c:pt>
                <c:pt idx="10">
                  <c:v>6.6666670000000003E-3</c:v>
                </c:pt>
                <c:pt idx="11">
                  <c:v>7.3333336999999998E-3</c:v>
                </c:pt>
                <c:pt idx="12">
                  <c:v>8.0000004000000003E-3</c:v>
                </c:pt>
                <c:pt idx="13">
                  <c:v>8.6666671000000008E-3</c:v>
                </c:pt>
                <c:pt idx="14">
                  <c:v>9.3333337999999995E-3</c:v>
                </c:pt>
                <c:pt idx="15">
                  <c:v>1.00000005E-2</c:v>
                </c:pt>
                <c:pt idx="16">
                  <c:v>1.06666672E-2</c:v>
                </c:pt>
                <c:pt idx="17">
                  <c:v>1.1333333900000001E-2</c:v>
                </c:pt>
                <c:pt idx="18">
                  <c:v>1.20000006E-2</c:v>
                </c:pt>
                <c:pt idx="19">
                  <c:v>1.26666673E-2</c:v>
                </c:pt>
                <c:pt idx="20">
                  <c:v>1.3333334000000001E-2</c:v>
                </c:pt>
                <c:pt idx="21">
                  <c:v>1.4000000699999999E-2</c:v>
                </c:pt>
                <c:pt idx="22">
                  <c:v>1.46666674E-2</c:v>
                </c:pt>
                <c:pt idx="23">
                  <c:v>1.53333341E-2</c:v>
                </c:pt>
                <c:pt idx="24">
                  <c:v>1.6000000800000001E-2</c:v>
                </c:pt>
                <c:pt idx="25">
                  <c:v>1.6666667499999999E-2</c:v>
                </c:pt>
                <c:pt idx="26">
                  <c:v>1.7333334200000002E-2</c:v>
                </c:pt>
                <c:pt idx="27">
                  <c:v>1.80000009E-2</c:v>
                </c:pt>
                <c:pt idx="28">
                  <c:v>1.8666667599999999E-2</c:v>
                </c:pt>
                <c:pt idx="29">
                  <c:v>1.9333334300000001E-2</c:v>
                </c:pt>
                <c:pt idx="30">
                  <c:v>2.0000001E-2</c:v>
                </c:pt>
                <c:pt idx="31">
                  <c:v>2.0666667699999999E-2</c:v>
                </c:pt>
                <c:pt idx="32">
                  <c:v>2.1333334400000001E-2</c:v>
                </c:pt>
                <c:pt idx="33">
                  <c:v>2.20000011E-2</c:v>
                </c:pt>
                <c:pt idx="34">
                  <c:v>2.2666667800000002E-2</c:v>
                </c:pt>
                <c:pt idx="35">
                  <c:v>2.33333345E-2</c:v>
                </c:pt>
                <c:pt idx="36">
                  <c:v>2.4000001199999999E-2</c:v>
                </c:pt>
                <c:pt idx="37">
                  <c:v>2.4666667900000001E-2</c:v>
                </c:pt>
                <c:pt idx="38">
                  <c:v>2.53333346E-2</c:v>
                </c:pt>
                <c:pt idx="39">
                  <c:v>2.6000001299999999E-2</c:v>
                </c:pt>
                <c:pt idx="40">
                  <c:v>2.6666668000000001E-2</c:v>
                </c:pt>
                <c:pt idx="41">
                  <c:v>2.73333347E-2</c:v>
                </c:pt>
                <c:pt idx="42">
                  <c:v>2.8000001399999998E-2</c:v>
                </c:pt>
                <c:pt idx="43">
                  <c:v>2.8666668100000001E-2</c:v>
                </c:pt>
                <c:pt idx="44">
                  <c:v>2.9333334799999999E-2</c:v>
                </c:pt>
                <c:pt idx="45">
                  <c:v>3.0000001500000002E-2</c:v>
                </c:pt>
                <c:pt idx="46">
                  <c:v>3.06666682E-2</c:v>
                </c:pt>
                <c:pt idx="47">
                  <c:v>3.1333334900000002E-2</c:v>
                </c:pt>
                <c:pt idx="48">
                  <c:v>3.2000001600000001E-2</c:v>
                </c:pt>
                <c:pt idx="49">
                  <c:v>3.26666683E-2</c:v>
                </c:pt>
                <c:pt idx="50">
                  <c:v>3.3333334999999999E-2</c:v>
                </c:pt>
                <c:pt idx="51">
                  <c:v>3.4000001699999997E-2</c:v>
                </c:pt>
                <c:pt idx="52">
                  <c:v>3.4666668400000003E-2</c:v>
                </c:pt>
                <c:pt idx="53">
                  <c:v>3.5333335100000002E-2</c:v>
                </c:pt>
                <c:pt idx="54">
                  <c:v>3.60000018E-2</c:v>
                </c:pt>
                <c:pt idx="55">
                  <c:v>3.6666668499999999E-2</c:v>
                </c:pt>
                <c:pt idx="56">
                  <c:v>3.7333335199999998E-2</c:v>
                </c:pt>
                <c:pt idx="57">
                  <c:v>3.8000001899999997E-2</c:v>
                </c:pt>
                <c:pt idx="58">
                  <c:v>3.8666668600000002E-2</c:v>
                </c:pt>
                <c:pt idx="59">
                  <c:v>3.9333335300000001E-2</c:v>
                </c:pt>
                <c:pt idx="60">
                  <c:v>4.0000002E-2</c:v>
                </c:pt>
                <c:pt idx="61">
                  <c:v>4.0666668699999999E-2</c:v>
                </c:pt>
                <c:pt idx="62">
                  <c:v>4.1333335399999997E-2</c:v>
                </c:pt>
                <c:pt idx="63">
                  <c:v>4.2000002100000003E-2</c:v>
                </c:pt>
                <c:pt idx="64">
                  <c:v>4.2666668800000002E-2</c:v>
                </c:pt>
                <c:pt idx="65">
                  <c:v>4.33333355E-2</c:v>
                </c:pt>
                <c:pt idx="66">
                  <c:v>4.4000002199999999E-2</c:v>
                </c:pt>
                <c:pt idx="67">
                  <c:v>4.4666668899999998E-2</c:v>
                </c:pt>
                <c:pt idx="68">
                  <c:v>4.5333335600000003E-2</c:v>
                </c:pt>
                <c:pt idx="69">
                  <c:v>4.6000002300000002E-2</c:v>
                </c:pt>
                <c:pt idx="70">
                  <c:v>4.6666669000000001E-2</c:v>
                </c:pt>
                <c:pt idx="71">
                  <c:v>4.73333357E-2</c:v>
                </c:pt>
                <c:pt idx="72">
                  <c:v>4.8000002399999998E-2</c:v>
                </c:pt>
                <c:pt idx="73">
                  <c:v>4.8666669099999997E-2</c:v>
                </c:pt>
                <c:pt idx="74">
                  <c:v>4.9333335800000003E-2</c:v>
                </c:pt>
                <c:pt idx="75">
                  <c:v>5.0000002500000001E-2</c:v>
                </c:pt>
                <c:pt idx="76">
                  <c:v>5.06666692E-2</c:v>
                </c:pt>
                <c:pt idx="77">
                  <c:v>5.1333335899999999E-2</c:v>
                </c:pt>
                <c:pt idx="78">
                  <c:v>5.2000002599999998E-2</c:v>
                </c:pt>
                <c:pt idx="79">
                  <c:v>5.2666669300000003E-2</c:v>
                </c:pt>
                <c:pt idx="80">
                  <c:v>5.3333336000000002E-2</c:v>
                </c:pt>
                <c:pt idx="81">
                  <c:v>5.4000002700000001E-2</c:v>
                </c:pt>
                <c:pt idx="82">
                  <c:v>5.4666669399999999E-2</c:v>
                </c:pt>
                <c:pt idx="83">
                  <c:v>5.5333336099999998E-2</c:v>
                </c:pt>
                <c:pt idx="84">
                  <c:v>5.6000002799999997E-2</c:v>
                </c:pt>
                <c:pt idx="85">
                  <c:v>5.6666669500000003E-2</c:v>
                </c:pt>
                <c:pt idx="86">
                  <c:v>5.7333336200000001E-2</c:v>
                </c:pt>
                <c:pt idx="87">
                  <c:v>5.80000029E-2</c:v>
                </c:pt>
                <c:pt idx="88">
                  <c:v>5.8666669599999999E-2</c:v>
                </c:pt>
                <c:pt idx="89">
                  <c:v>5.9333336299999997E-2</c:v>
                </c:pt>
                <c:pt idx="90">
                  <c:v>6.0000003000000003E-2</c:v>
                </c:pt>
                <c:pt idx="91">
                  <c:v>6.0666669700000002E-2</c:v>
                </c:pt>
                <c:pt idx="92">
                  <c:v>6.1333336400000001E-2</c:v>
                </c:pt>
                <c:pt idx="93">
                  <c:v>6.2000003099999999E-2</c:v>
                </c:pt>
                <c:pt idx="94">
                  <c:v>6.2666669800000005E-2</c:v>
                </c:pt>
                <c:pt idx="95">
                  <c:v>6.3333336500000004E-2</c:v>
                </c:pt>
                <c:pt idx="96">
                  <c:v>6.4000003200000002E-2</c:v>
                </c:pt>
                <c:pt idx="97">
                  <c:v>6.4666669900000001E-2</c:v>
                </c:pt>
                <c:pt idx="98">
                  <c:v>6.53333366E-2</c:v>
                </c:pt>
                <c:pt idx="99">
                  <c:v>6.6000003299999999E-2</c:v>
                </c:pt>
                <c:pt idx="100">
                  <c:v>6.6666669999999997E-2</c:v>
                </c:pt>
              </c:numCache>
            </c:numRef>
          </c:xVal>
          <c:yVal>
            <c:numRef>
              <c:f>'Motion Profile'!$H$3:$H$103</c:f>
              <c:numCache>
                <c:formatCode>0.00</c:formatCode>
                <c:ptCount val="101"/>
                <c:pt idx="0">
                  <c:v>-9</c:v>
                </c:pt>
                <c:pt idx="1">
                  <c:v>-8.9103999982079998</c:v>
                </c:pt>
                <c:pt idx="2">
                  <c:v>-8.6415999928319991</c:v>
                </c:pt>
                <c:pt idx="3">
                  <c:v>-8.1935999838719997</c:v>
                </c:pt>
                <c:pt idx="4">
                  <c:v>-7.5663999713300001</c:v>
                </c:pt>
                <c:pt idx="5">
                  <c:v>-6.7599999551999996</c:v>
                </c:pt>
                <c:pt idx="6">
                  <c:v>-5.77439993549</c:v>
                </c:pt>
                <c:pt idx="7">
                  <c:v>-4.6671998854099996</c:v>
                </c:pt>
                <c:pt idx="8">
                  <c:v>-3.5791998290900002</c:v>
                </c:pt>
                <c:pt idx="9">
                  <c:v>-2.5167997763500001</c:v>
                </c:pt>
                <c:pt idx="10">
                  <c:v>-1.4799997272000001</c:v>
                </c:pt>
                <c:pt idx="11">
                  <c:v>-0.4687996816299993</c:v>
                </c:pt>
                <c:pt idx="12">
                  <c:v>0.51680036035000043</c:v>
                </c:pt>
                <c:pt idx="13">
                  <c:v>1.4768003988</c:v>
                </c:pt>
                <c:pt idx="14">
                  <c:v>2.4112004335999995</c:v>
                </c:pt>
                <c:pt idx="15">
                  <c:v>3.3200004647999997</c:v>
                </c:pt>
                <c:pt idx="16">
                  <c:v>4.2032004924000006</c:v>
                </c:pt>
                <c:pt idx="17">
                  <c:v>5.0608005165000005</c:v>
                </c:pt>
                <c:pt idx="18">
                  <c:v>5.8928005369999994</c:v>
                </c:pt>
                <c:pt idx="19">
                  <c:v>6.6960005327999994</c:v>
                </c:pt>
                <c:pt idx="20">
                  <c:v>7.400000519999999</c:v>
                </c:pt>
                <c:pt idx="21">
                  <c:v>7.9760005967999987</c:v>
                </c:pt>
                <c:pt idx="22">
                  <c:v>8.4240007631999987</c:v>
                </c:pt>
                <c:pt idx="23">
                  <c:v>8.7440010191999988</c:v>
                </c:pt>
                <c:pt idx="24">
                  <c:v>8.9360013647999992</c:v>
                </c:pt>
                <c:pt idx="25">
                  <c:v>9.0000017999999997</c:v>
                </c:pt>
                <c:pt idx="26">
                  <c:v>8.9104023197000011</c:v>
                </c:pt>
                <c:pt idx="27">
                  <c:v>8.6416025346999987</c:v>
                </c:pt>
                <c:pt idx="28">
                  <c:v>8.1936024451000016</c:v>
                </c:pt>
                <c:pt idx="29">
                  <c:v>7.566402050899999</c:v>
                </c:pt>
                <c:pt idx="30">
                  <c:v>6.7600013519999997</c:v>
                </c:pt>
                <c:pt idx="31">
                  <c:v>5.7744003485000004</c:v>
                </c:pt>
                <c:pt idx="32">
                  <c:v>4.6672001289999994</c:v>
                </c:pt>
                <c:pt idx="33">
                  <c:v>3.5792002186000005</c:v>
                </c:pt>
                <c:pt idx="34">
                  <c:v>2.5168002902000008</c:v>
                </c:pt>
                <c:pt idx="35">
                  <c:v>1.4800003440000005</c:v>
                </c:pt>
                <c:pt idx="36">
                  <c:v>0.46880037983999934</c:v>
                </c:pt>
                <c:pt idx="37">
                  <c:v>-0.51679960224000077</c:v>
                </c:pt>
                <c:pt idx="38">
                  <c:v>-1.4767996022399998</c:v>
                </c:pt>
                <c:pt idx="39">
                  <c:v>-2.4111996201599997</c:v>
                </c:pt>
                <c:pt idx="40">
                  <c:v>-3.3199996560000002</c:v>
                </c:pt>
                <c:pt idx="41">
                  <c:v>-4.2031997097599998</c:v>
                </c:pt>
                <c:pt idx="42">
                  <c:v>-5.0607997814400001</c:v>
                </c:pt>
                <c:pt idx="43">
                  <c:v>-5.8927998710399994</c:v>
                </c:pt>
                <c:pt idx="44">
                  <c:v>-6.6960000144</c:v>
                </c:pt>
                <c:pt idx="45">
                  <c:v>-7.3999995599999995</c:v>
                </c:pt>
                <c:pt idx="46">
                  <c:v>-7.9759979663799996</c:v>
                </c:pt>
                <c:pt idx="47">
                  <c:v>-8.4239952335569992</c:v>
                </c:pt>
                <c:pt idx="48">
                  <c:v>-8.7439913615229994</c:v>
                </c:pt>
                <c:pt idx="49">
                  <c:v>-8.9359863502780996</c:v>
                </c:pt>
                <c:pt idx="50">
                  <c:v>-8.99998019975307</c:v>
                </c:pt>
                <c:pt idx="51">
                  <c:v>-8.9103707899613998</c:v>
                </c:pt>
                <c:pt idx="52">
                  <c:v>-8.6415613765860009</c:v>
                </c:pt>
                <c:pt idx="53">
                  <c:v>-8.1935519596259994</c:v>
                </c:pt>
                <c:pt idx="54">
                  <c:v>-7.5663425390799999</c:v>
                </c:pt>
                <c:pt idx="55">
                  <c:v>-6.7599331149499999</c:v>
                </c:pt>
                <c:pt idx="56">
                  <c:v>-5.7743236872399999</c:v>
                </c:pt>
                <c:pt idx="57">
                  <c:v>-4.6671222934400003</c:v>
                </c:pt>
                <c:pt idx="58">
                  <c:v>-3.5791235811200002</c:v>
                </c:pt>
                <c:pt idx="59">
                  <c:v>-2.5167248723900002</c:v>
                </c:pt>
                <c:pt idx="60">
                  <c:v>-1.4799261672400004</c:v>
                </c:pt>
                <c:pt idx="61">
                  <c:v>-0.46872746566999979</c:v>
                </c:pt>
                <c:pt idx="62">
                  <c:v>0.51687123231999976</c:v>
                </c:pt>
                <c:pt idx="63">
                  <c:v>1.4768699266999992</c:v>
                </c:pt>
                <c:pt idx="64">
                  <c:v>2.4112686174999993</c:v>
                </c:pt>
                <c:pt idx="65">
                  <c:v>3.3200673048000002</c:v>
                </c:pt>
                <c:pt idx="66">
                  <c:v>4.2032659884000001</c:v>
                </c:pt>
                <c:pt idx="67">
                  <c:v>5.0608646685000007</c:v>
                </c:pt>
                <c:pt idx="68">
                  <c:v>5.8928633450000003</c:v>
                </c:pt>
                <c:pt idx="69">
                  <c:v>6.6960606525999999</c:v>
                </c:pt>
                <c:pt idx="70">
                  <c:v>7.4000539198000013</c:v>
                </c:pt>
                <c:pt idx="71">
                  <c:v>7.9760472765999992</c:v>
                </c:pt>
                <c:pt idx="72">
                  <c:v>8.424040723000001</c:v>
                </c:pt>
                <c:pt idx="73">
                  <c:v>8.7440342589999993</c:v>
                </c:pt>
                <c:pt idx="74">
                  <c:v>8.9360278846000014</c:v>
                </c:pt>
                <c:pt idx="75">
                  <c:v>9.0000215998000002</c:v>
                </c:pt>
                <c:pt idx="76">
                  <c:v>8.9104127115000011</c:v>
                </c:pt>
                <c:pt idx="77">
                  <c:v>8.6416035184999984</c:v>
                </c:pt>
                <c:pt idx="78">
                  <c:v>8.1935940209000009</c:v>
                </c:pt>
                <c:pt idx="79">
                  <c:v>7.5663842185999997</c:v>
                </c:pt>
                <c:pt idx="80">
                  <c:v>6.7599741117000001</c:v>
                </c:pt>
                <c:pt idx="81">
                  <c:v>5.7743637002000003</c:v>
                </c:pt>
                <c:pt idx="82">
                  <c:v>4.667162137</c:v>
                </c:pt>
                <c:pt idx="83">
                  <c:v>3.5791635706000005</c:v>
                </c:pt>
                <c:pt idx="84">
                  <c:v>2.5167649863000001</c:v>
                </c:pt>
                <c:pt idx="85">
                  <c:v>1.4799663840000008</c:v>
                </c:pt>
                <c:pt idx="86">
                  <c:v>0.46876776388000074</c:v>
                </c:pt>
                <c:pt idx="87">
                  <c:v>-0.51683087420000007</c:v>
                </c:pt>
                <c:pt idx="88">
                  <c:v>-1.4768295301999999</c:v>
                </c:pt>
                <c:pt idx="89">
                  <c:v>-2.4112282041200004</c:v>
                </c:pt>
                <c:pt idx="90">
                  <c:v>-3.3200268959599999</c:v>
                </c:pt>
                <c:pt idx="91">
                  <c:v>-4.2032256057300001</c:v>
                </c:pt>
                <c:pt idx="92">
                  <c:v>-5.0608243334100003</c:v>
                </c:pt>
                <c:pt idx="93">
                  <c:v>-5.8928230790100002</c:v>
                </c:pt>
                <c:pt idx="94">
                  <c:v>-6.6960205342299997</c:v>
                </c:pt>
                <c:pt idx="95">
                  <c:v>-7.40001335976</c:v>
                </c:pt>
                <c:pt idx="96">
                  <c:v>-7.9760050460900001</c:v>
                </c:pt>
                <c:pt idx="97">
                  <c:v>-8.4239955932059996</c:v>
                </c:pt>
                <c:pt idx="98">
                  <c:v>-8.7439850011119997</c:v>
                </c:pt>
                <c:pt idx="99">
                  <c:v>-8.9359732698084002</c:v>
                </c:pt>
                <c:pt idx="100">
                  <c:v>-8.9999603990122345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087-481A-9E14-1C88A079CF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0179007"/>
        <c:axId val="1053892000"/>
      </c:scatterChart>
      <c:valAx>
        <c:axId val="1040179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892000"/>
        <c:crosses val="autoZero"/>
        <c:crossBetween val="midCat"/>
      </c:valAx>
      <c:valAx>
        <c:axId val="1053892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Angle [Deg]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1790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Torque [Nm]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Torque [Nm]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'No Load'!$B$3:$B$103</c:f>
              <c:numCache>
                <c:formatCode>General</c:formatCode>
                <c:ptCount val="101"/>
                <c:pt idx="0">
                  <c:v>0</c:v>
                </c:pt>
                <c:pt idx="1">
                  <c:v>6.6666670000000003E-4</c:v>
                </c:pt>
                <c:pt idx="2">
                  <c:v>1.3333334000000001E-3</c:v>
                </c:pt>
                <c:pt idx="3">
                  <c:v>2.0000001000000001E-3</c:v>
                </c:pt>
                <c:pt idx="4">
                  <c:v>2.6666668000000001E-3</c:v>
                </c:pt>
                <c:pt idx="5">
                  <c:v>3.3333335000000001E-3</c:v>
                </c:pt>
                <c:pt idx="6">
                  <c:v>4.0000002000000002E-3</c:v>
                </c:pt>
                <c:pt idx="7">
                  <c:v>4.6666668999999997E-3</c:v>
                </c:pt>
                <c:pt idx="8">
                  <c:v>5.3333336000000002E-3</c:v>
                </c:pt>
                <c:pt idx="9">
                  <c:v>6.0000002999999998E-3</c:v>
                </c:pt>
                <c:pt idx="10">
                  <c:v>6.6666670000000003E-3</c:v>
                </c:pt>
                <c:pt idx="11">
                  <c:v>7.3333336999999998E-3</c:v>
                </c:pt>
                <c:pt idx="12">
                  <c:v>8.0000004000000003E-3</c:v>
                </c:pt>
                <c:pt idx="13">
                  <c:v>8.6666671000000008E-3</c:v>
                </c:pt>
                <c:pt idx="14">
                  <c:v>9.3333337999999995E-3</c:v>
                </c:pt>
                <c:pt idx="15">
                  <c:v>1.00000005E-2</c:v>
                </c:pt>
                <c:pt idx="16">
                  <c:v>1.06666672E-2</c:v>
                </c:pt>
                <c:pt idx="17">
                  <c:v>1.1333333900000001E-2</c:v>
                </c:pt>
                <c:pt idx="18">
                  <c:v>1.20000006E-2</c:v>
                </c:pt>
                <c:pt idx="19">
                  <c:v>1.26666673E-2</c:v>
                </c:pt>
                <c:pt idx="20">
                  <c:v>1.3333334000000001E-2</c:v>
                </c:pt>
                <c:pt idx="21">
                  <c:v>1.4000000699999999E-2</c:v>
                </c:pt>
                <c:pt idx="22">
                  <c:v>1.46666674E-2</c:v>
                </c:pt>
                <c:pt idx="23">
                  <c:v>1.53333341E-2</c:v>
                </c:pt>
                <c:pt idx="24">
                  <c:v>1.6000000800000001E-2</c:v>
                </c:pt>
                <c:pt idx="25">
                  <c:v>1.6666667499999999E-2</c:v>
                </c:pt>
                <c:pt idx="26">
                  <c:v>1.7333334200000002E-2</c:v>
                </c:pt>
                <c:pt idx="27">
                  <c:v>1.80000009E-2</c:v>
                </c:pt>
                <c:pt idx="28">
                  <c:v>1.8666667599999999E-2</c:v>
                </c:pt>
                <c:pt idx="29">
                  <c:v>1.9333334300000001E-2</c:v>
                </c:pt>
                <c:pt idx="30">
                  <c:v>2.0000001E-2</c:v>
                </c:pt>
                <c:pt idx="31">
                  <c:v>2.0666667699999999E-2</c:v>
                </c:pt>
                <c:pt idx="32">
                  <c:v>2.1333334400000001E-2</c:v>
                </c:pt>
                <c:pt idx="33">
                  <c:v>2.20000011E-2</c:v>
                </c:pt>
                <c:pt idx="34">
                  <c:v>2.2666667800000002E-2</c:v>
                </c:pt>
                <c:pt idx="35">
                  <c:v>2.33333345E-2</c:v>
                </c:pt>
                <c:pt idx="36">
                  <c:v>2.4000001199999999E-2</c:v>
                </c:pt>
                <c:pt idx="37">
                  <c:v>2.4666667900000001E-2</c:v>
                </c:pt>
                <c:pt idx="38">
                  <c:v>2.53333346E-2</c:v>
                </c:pt>
                <c:pt idx="39">
                  <c:v>2.6000001299999999E-2</c:v>
                </c:pt>
                <c:pt idx="40">
                  <c:v>2.6666668000000001E-2</c:v>
                </c:pt>
                <c:pt idx="41">
                  <c:v>2.73333347E-2</c:v>
                </c:pt>
                <c:pt idx="42">
                  <c:v>2.8000001399999998E-2</c:v>
                </c:pt>
                <c:pt idx="43">
                  <c:v>2.8666668100000001E-2</c:v>
                </c:pt>
                <c:pt idx="44">
                  <c:v>2.9333334799999999E-2</c:v>
                </c:pt>
                <c:pt idx="45">
                  <c:v>3.0000001500000002E-2</c:v>
                </c:pt>
                <c:pt idx="46">
                  <c:v>3.06666682E-2</c:v>
                </c:pt>
                <c:pt idx="47">
                  <c:v>3.1333334900000002E-2</c:v>
                </c:pt>
                <c:pt idx="48">
                  <c:v>3.2000001600000001E-2</c:v>
                </c:pt>
                <c:pt idx="49">
                  <c:v>3.26666683E-2</c:v>
                </c:pt>
                <c:pt idx="50">
                  <c:v>3.3333334999999999E-2</c:v>
                </c:pt>
                <c:pt idx="51">
                  <c:v>3.4000001699999997E-2</c:v>
                </c:pt>
                <c:pt idx="52">
                  <c:v>3.4666668400000003E-2</c:v>
                </c:pt>
                <c:pt idx="53">
                  <c:v>3.5333335100000002E-2</c:v>
                </c:pt>
                <c:pt idx="54">
                  <c:v>3.60000018E-2</c:v>
                </c:pt>
                <c:pt idx="55">
                  <c:v>3.6666668499999999E-2</c:v>
                </c:pt>
                <c:pt idx="56">
                  <c:v>3.7333335199999998E-2</c:v>
                </c:pt>
                <c:pt idx="57">
                  <c:v>3.8000001899999997E-2</c:v>
                </c:pt>
                <c:pt idx="58">
                  <c:v>3.8666668600000002E-2</c:v>
                </c:pt>
                <c:pt idx="59">
                  <c:v>3.9333335300000001E-2</c:v>
                </c:pt>
                <c:pt idx="60">
                  <c:v>4.0000002E-2</c:v>
                </c:pt>
                <c:pt idx="61">
                  <c:v>4.0666668699999999E-2</c:v>
                </c:pt>
                <c:pt idx="62">
                  <c:v>4.1333335399999997E-2</c:v>
                </c:pt>
                <c:pt idx="63">
                  <c:v>4.2000002100000003E-2</c:v>
                </c:pt>
                <c:pt idx="64">
                  <c:v>4.2666668800000002E-2</c:v>
                </c:pt>
                <c:pt idx="65">
                  <c:v>4.33333355E-2</c:v>
                </c:pt>
                <c:pt idx="66">
                  <c:v>4.4000002199999999E-2</c:v>
                </c:pt>
                <c:pt idx="67">
                  <c:v>4.4666668899999998E-2</c:v>
                </c:pt>
                <c:pt idx="68">
                  <c:v>4.5333335600000003E-2</c:v>
                </c:pt>
                <c:pt idx="69">
                  <c:v>4.6000002300000002E-2</c:v>
                </c:pt>
                <c:pt idx="70">
                  <c:v>4.6666669000000001E-2</c:v>
                </c:pt>
                <c:pt idx="71">
                  <c:v>4.73333357E-2</c:v>
                </c:pt>
                <c:pt idx="72">
                  <c:v>4.8000002399999998E-2</c:v>
                </c:pt>
                <c:pt idx="73">
                  <c:v>4.8666669099999997E-2</c:v>
                </c:pt>
                <c:pt idx="74">
                  <c:v>4.9333335800000003E-2</c:v>
                </c:pt>
                <c:pt idx="75">
                  <c:v>5.0000002500000001E-2</c:v>
                </c:pt>
                <c:pt idx="76">
                  <c:v>5.06666692E-2</c:v>
                </c:pt>
                <c:pt idx="77">
                  <c:v>5.1333335899999999E-2</c:v>
                </c:pt>
                <c:pt idx="78">
                  <c:v>5.2000002599999998E-2</c:v>
                </c:pt>
                <c:pt idx="79">
                  <c:v>5.2666669300000003E-2</c:v>
                </c:pt>
                <c:pt idx="80">
                  <c:v>5.3333336000000002E-2</c:v>
                </c:pt>
                <c:pt idx="81">
                  <c:v>5.4000002700000001E-2</c:v>
                </c:pt>
                <c:pt idx="82">
                  <c:v>5.4666669399999999E-2</c:v>
                </c:pt>
                <c:pt idx="83">
                  <c:v>5.5333336099999998E-2</c:v>
                </c:pt>
                <c:pt idx="84">
                  <c:v>5.6000002799999997E-2</c:v>
                </c:pt>
                <c:pt idx="85">
                  <c:v>5.6666669500000003E-2</c:v>
                </c:pt>
                <c:pt idx="86">
                  <c:v>5.7333336200000001E-2</c:v>
                </c:pt>
                <c:pt idx="87">
                  <c:v>5.80000029E-2</c:v>
                </c:pt>
                <c:pt idx="88">
                  <c:v>5.8666669599999999E-2</c:v>
                </c:pt>
                <c:pt idx="89">
                  <c:v>5.9333336299999997E-2</c:v>
                </c:pt>
                <c:pt idx="90">
                  <c:v>6.0000003000000003E-2</c:v>
                </c:pt>
                <c:pt idx="91">
                  <c:v>6.0666669700000002E-2</c:v>
                </c:pt>
                <c:pt idx="92">
                  <c:v>6.1333336400000001E-2</c:v>
                </c:pt>
                <c:pt idx="93">
                  <c:v>6.2000003099999999E-2</c:v>
                </c:pt>
                <c:pt idx="94">
                  <c:v>6.2666669800000005E-2</c:v>
                </c:pt>
                <c:pt idx="95">
                  <c:v>6.3333336500000004E-2</c:v>
                </c:pt>
                <c:pt idx="96">
                  <c:v>6.4000003200000002E-2</c:v>
                </c:pt>
                <c:pt idx="97">
                  <c:v>6.4666669900000001E-2</c:v>
                </c:pt>
                <c:pt idx="98">
                  <c:v>6.53333366E-2</c:v>
                </c:pt>
                <c:pt idx="99">
                  <c:v>6.6000003299999999E-2</c:v>
                </c:pt>
                <c:pt idx="100">
                  <c:v>6.6666669999999997E-2</c:v>
                </c:pt>
              </c:numCache>
            </c:numRef>
          </c:xVal>
          <c:yVal>
            <c:numRef>
              <c:f>'No Load'!$D$3:$D$103</c:f>
              <c:numCache>
                <c:formatCode>0.0</c:formatCode>
                <c:ptCount val="101"/>
                <c:pt idx="0">
                  <c:v>-512.66490129800002</c:v>
                </c:pt>
                <c:pt idx="1">
                  <c:v>-492.79490185399999</c:v>
                </c:pt>
                <c:pt idx="2">
                  <c:v>-423.49266635700002</c:v>
                </c:pt>
                <c:pt idx="3">
                  <c:v>-275.61818104600002</c:v>
                </c:pt>
                <c:pt idx="4">
                  <c:v>-15.3774013823</c:v>
                </c:pt>
                <c:pt idx="5">
                  <c:v>316.50979052500003</c:v>
                </c:pt>
                <c:pt idx="6">
                  <c:v>588.99771717700003</c:v>
                </c:pt>
                <c:pt idx="7">
                  <c:v>620.440778755</c:v>
                </c:pt>
                <c:pt idx="8">
                  <c:v>444.50219599500002</c:v>
                </c:pt>
                <c:pt idx="9">
                  <c:v>254.15374406399999</c:v>
                </c:pt>
                <c:pt idx="10">
                  <c:v>122.972808521</c:v>
                </c:pt>
                <c:pt idx="11">
                  <c:v>31.109421295299999</c:v>
                </c:pt>
                <c:pt idx="12">
                  <c:v>-46.120367992399999</c:v>
                </c:pt>
                <c:pt idx="13">
                  <c:v>-119.418065152</c:v>
                </c:pt>
                <c:pt idx="14">
                  <c:v>-220.59641170399999</c:v>
                </c:pt>
                <c:pt idx="15">
                  <c:v>-363.94307924499998</c:v>
                </c:pt>
                <c:pt idx="16">
                  <c:v>-528.46336211200003</c:v>
                </c:pt>
                <c:pt idx="17">
                  <c:v>-605.01469824900005</c:v>
                </c:pt>
                <c:pt idx="18">
                  <c:v>-530.20983713199996</c:v>
                </c:pt>
                <c:pt idx="19">
                  <c:v>-310.24858749499998</c:v>
                </c:pt>
                <c:pt idx="20">
                  <c:v>-28.6615878683</c:v>
                </c:pt>
                <c:pt idx="21">
                  <c:v>214.67233874999999</c:v>
                </c:pt>
                <c:pt idx="22">
                  <c:v>384.62455224299998</c:v>
                </c:pt>
                <c:pt idx="23">
                  <c:v>483.336154308</c:v>
                </c:pt>
                <c:pt idx="24">
                  <c:v>532.03925010499995</c:v>
                </c:pt>
                <c:pt idx="25">
                  <c:v>546.60164895399998</c:v>
                </c:pt>
                <c:pt idx="26">
                  <c:v>526.00013034599999</c:v>
                </c:pt>
                <c:pt idx="27">
                  <c:v>454.16347350000001</c:v>
                </c:pt>
                <c:pt idx="28">
                  <c:v>300.65729678700001</c:v>
                </c:pt>
                <c:pt idx="29">
                  <c:v>42.343769297800002</c:v>
                </c:pt>
                <c:pt idx="30">
                  <c:v>-287.26549350300002</c:v>
                </c:pt>
                <c:pt idx="31">
                  <c:v>-550.47717780999994</c:v>
                </c:pt>
                <c:pt idx="32">
                  <c:v>-586.05097275499998</c:v>
                </c:pt>
                <c:pt idx="33">
                  <c:v>-414.759848551</c:v>
                </c:pt>
                <c:pt idx="34">
                  <c:v>-233.885291669</c:v>
                </c:pt>
                <c:pt idx="35">
                  <c:v>-119.72389113200001</c:v>
                </c:pt>
                <c:pt idx="36">
                  <c:v>-42.808390231200001</c:v>
                </c:pt>
                <c:pt idx="37">
                  <c:v>35.239816862799998</c:v>
                </c:pt>
                <c:pt idx="38">
                  <c:v>122.659010771</c:v>
                </c:pt>
                <c:pt idx="39">
                  <c:v>237.90393129500001</c:v>
                </c:pt>
                <c:pt idx="40">
                  <c:v>392.02840911700002</c:v>
                </c:pt>
                <c:pt idx="41">
                  <c:v>561.73377266399996</c:v>
                </c:pt>
                <c:pt idx="42">
                  <c:v>639.69208290500001</c:v>
                </c:pt>
                <c:pt idx="43">
                  <c:v>568.33122282299996</c:v>
                </c:pt>
                <c:pt idx="44">
                  <c:v>339.38042490700002</c:v>
                </c:pt>
                <c:pt idx="45">
                  <c:v>58.127506126199997</c:v>
                </c:pt>
                <c:pt idx="46">
                  <c:v>-190.880971585</c:v>
                </c:pt>
                <c:pt idx="47">
                  <c:v>-356.53749789099999</c:v>
                </c:pt>
                <c:pt idx="48">
                  <c:v>-451.66057693200003</c:v>
                </c:pt>
                <c:pt idx="49">
                  <c:v>-498.62832897300001</c:v>
                </c:pt>
                <c:pt idx="50">
                  <c:v>-368.720235651</c:v>
                </c:pt>
                <c:pt idx="51">
                  <c:v>-492.78855291899998</c:v>
                </c:pt>
                <c:pt idx="52">
                  <c:v>-423.48205768600002</c:v>
                </c:pt>
                <c:pt idx="53">
                  <c:v>-275.599923445</c:v>
                </c:pt>
                <c:pt idx="54">
                  <c:v>-15.3522034421</c:v>
                </c:pt>
                <c:pt idx="55">
                  <c:v>316.53261119899997</c:v>
                </c:pt>
                <c:pt idx="56">
                  <c:v>589.01032628600001</c:v>
                </c:pt>
                <c:pt idx="57">
                  <c:v>620.42719434900005</c:v>
                </c:pt>
                <c:pt idx="58">
                  <c:v>444.487526301</c:v>
                </c:pt>
                <c:pt idx="59">
                  <c:v>254.14184641599999</c:v>
                </c:pt>
                <c:pt idx="60">
                  <c:v>122.968154023</c:v>
                </c:pt>
                <c:pt idx="61">
                  <c:v>31.103719798</c:v>
                </c:pt>
                <c:pt idx="62">
                  <c:v>-46.125522903499999</c:v>
                </c:pt>
                <c:pt idx="63">
                  <c:v>-119.424637898</c:v>
                </c:pt>
                <c:pt idx="64">
                  <c:v>-220.60440467699999</c:v>
                </c:pt>
                <c:pt idx="65">
                  <c:v>-363.95518281699998</c:v>
                </c:pt>
                <c:pt idx="66">
                  <c:v>-528.47084276999999</c:v>
                </c:pt>
                <c:pt idx="67">
                  <c:v>-605.01334400600001</c:v>
                </c:pt>
                <c:pt idx="68">
                  <c:v>-530.19805604199996</c:v>
                </c:pt>
                <c:pt idx="69">
                  <c:v>-310.22636661500002</c:v>
                </c:pt>
                <c:pt idx="70">
                  <c:v>-28.644057086299998</c:v>
                </c:pt>
                <c:pt idx="71">
                  <c:v>214.69132345</c:v>
                </c:pt>
                <c:pt idx="72">
                  <c:v>384.63641714300002</c:v>
                </c:pt>
                <c:pt idx="73">
                  <c:v>483.36267544200001</c:v>
                </c:pt>
                <c:pt idx="74">
                  <c:v>532.043127863</c:v>
                </c:pt>
                <c:pt idx="75">
                  <c:v>543.28439669800002</c:v>
                </c:pt>
                <c:pt idx="76">
                  <c:v>526.00258348399996</c:v>
                </c:pt>
                <c:pt idx="77">
                  <c:v>454.16444867799999</c:v>
                </c:pt>
                <c:pt idx="78">
                  <c:v>300.65424849099998</c:v>
                </c:pt>
                <c:pt idx="79">
                  <c:v>42.333570398200003</c:v>
                </c:pt>
                <c:pt idx="80">
                  <c:v>-287.27537492300002</c:v>
                </c:pt>
                <c:pt idx="81">
                  <c:v>-550.48712503100001</c:v>
                </c:pt>
                <c:pt idx="82">
                  <c:v>-586.04953116700005</c:v>
                </c:pt>
                <c:pt idx="83">
                  <c:v>-414.75595226600001</c:v>
                </c:pt>
                <c:pt idx="84">
                  <c:v>-233.87597636000001</c:v>
                </c:pt>
                <c:pt idx="85">
                  <c:v>-119.721555388</c:v>
                </c:pt>
                <c:pt idx="86">
                  <c:v>-42.807366459000001</c:v>
                </c:pt>
                <c:pt idx="87">
                  <c:v>35.242753254599997</c:v>
                </c:pt>
                <c:pt idx="88">
                  <c:v>122.66204407799999</c:v>
                </c:pt>
                <c:pt idx="89">
                  <c:v>237.90808876299999</c:v>
                </c:pt>
                <c:pt idx="90">
                  <c:v>392.03376885099999</c:v>
                </c:pt>
                <c:pt idx="91">
                  <c:v>561.74375423900005</c:v>
                </c:pt>
                <c:pt idx="92">
                  <c:v>639.69228251799996</c:v>
                </c:pt>
                <c:pt idx="93">
                  <c:v>568.315222393</c:v>
                </c:pt>
                <c:pt idx="94">
                  <c:v>339.37023597299998</c:v>
                </c:pt>
                <c:pt idx="95">
                  <c:v>58.1216509124</c:v>
                </c:pt>
                <c:pt idx="96">
                  <c:v>-190.883897093</c:v>
                </c:pt>
                <c:pt idx="97">
                  <c:v>-356.537585342</c:v>
                </c:pt>
                <c:pt idx="98">
                  <c:v>-451.65535589199999</c:v>
                </c:pt>
                <c:pt idx="99">
                  <c:v>-498.62860240600003</c:v>
                </c:pt>
                <c:pt idx="100">
                  <c:v>-400.32875702400003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EB2-48F4-93C7-B632048152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908591"/>
        <c:axId val="1055658080"/>
      </c:scatterChart>
      <c:valAx>
        <c:axId val="1043908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[s]</a:t>
                </a:r>
              </a:p>
            </c:rich>
          </c:tx>
          <c:layout>
            <c:manualLayout>
              <c:xMode val="edge"/>
              <c:yMode val="edge"/>
              <c:x val="0.48709277802285461"/>
              <c:y val="0.866348554929919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658080"/>
        <c:crosses val="autoZero"/>
        <c:crossBetween val="midCat"/>
      </c:valAx>
      <c:valAx>
        <c:axId val="105565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Torque [Nm]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908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Voltage [V]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Voltage [V]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'No Load'!$B$3:$B$103</c:f>
              <c:numCache>
                <c:formatCode>General</c:formatCode>
                <c:ptCount val="101"/>
                <c:pt idx="0">
                  <c:v>0</c:v>
                </c:pt>
                <c:pt idx="1">
                  <c:v>6.6666670000000003E-4</c:v>
                </c:pt>
                <c:pt idx="2">
                  <c:v>1.3333334000000001E-3</c:v>
                </c:pt>
                <c:pt idx="3">
                  <c:v>2.0000001000000001E-3</c:v>
                </c:pt>
                <c:pt idx="4">
                  <c:v>2.6666668000000001E-3</c:v>
                </c:pt>
                <c:pt idx="5">
                  <c:v>3.3333335000000001E-3</c:v>
                </c:pt>
                <c:pt idx="6">
                  <c:v>4.0000002000000002E-3</c:v>
                </c:pt>
                <c:pt idx="7">
                  <c:v>4.6666668999999997E-3</c:v>
                </c:pt>
                <c:pt idx="8">
                  <c:v>5.3333336000000002E-3</c:v>
                </c:pt>
                <c:pt idx="9">
                  <c:v>6.0000002999999998E-3</c:v>
                </c:pt>
                <c:pt idx="10">
                  <c:v>6.6666670000000003E-3</c:v>
                </c:pt>
                <c:pt idx="11">
                  <c:v>7.3333336999999998E-3</c:v>
                </c:pt>
                <c:pt idx="12">
                  <c:v>8.0000004000000003E-3</c:v>
                </c:pt>
                <c:pt idx="13">
                  <c:v>8.6666671000000008E-3</c:v>
                </c:pt>
                <c:pt idx="14">
                  <c:v>9.3333337999999995E-3</c:v>
                </c:pt>
                <c:pt idx="15">
                  <c:v>1.00000005E-2</c:v>
                </c:pt>
                <c:pt idx="16">
                  <c:v>1.06666672E-2</c:v>
                </c:pt>
                <c:pt idx="17">
                  <c:v>1.1333333900000001E-2</c:v>
                </c:pt>
                <c:pt idx="18">
                  <c:v>1.20000006E-2</c:v>
                </c:pt>
                <c:pt idx="19">
                  <c:v>1.26666673E-2</c:v>
                </c:pt>
                <c:pt idx="20">
                  <c:v>1.3333334000000001E-2</c:v>
                </c:pt>
                <c:pt idx="21">
                  <c:v>1.4000000699999999E-2</c:v>
                </c:pt>
                <c:pt idx="22">
                  <c:v>1.46666674E-2</c:v>
                </c:pt>
                <c:pt idx="23">
                  <c:v>1.53333341E-2</c:v>
                </c:pt>
                <c:pt idx="24">
                  <c:v>1.6000000800000001E-2</c:v>
                </c:pt>
                <c:pt idx="25">
                  <c:v>1.6666667499999999E-2</c:v>
                </c:pt>
                <c:pt idx="26">
                  <c:v>1.7333334200000002E-2</c:v>
                </c:pt>
                <c:pt idx="27">
                  <c:v>1.80000009E-2</c:v>
                </c:pt>
                <c:pt idx="28">
                  <c:v>1.8666667599999999E-2</c:v>
                </c:pt>
                <c:pt idx="29">
                  <c:v>1.9333334300000001E-2</c:v>
                </c:pt>
                <c:pt idx="30">
                  <c:v>2.0000001E-2</c:v>
                </c:pt>
                <c:pt idx="31">
                  <c:v>2.0666667699999999E-2</c:v>
                </c:pt>
                <c:pt idx="32">
                  <c:v>2.1333334400000001E-2</c:v>
                </c:pt>
                <c:pt idx="33">
                  <c:v>2.20000011E-2</c:v>
                </c:pt>
                <c:pt idx="34">
                  <c:v>2.2666667800000002E-2</c:v>
                </c:pt>
                <c:pt idx="35">
                  <c:v>2.33333345E-2</c:v>
                </c:pt>
                <c:pt idx="36">
                  <c:v>2.4000001199999999E-2</c:v>
                </c:pt>
                <c:pt idx="37">
                  <c:v>2.4666667900000001E-2</c:v>
                </c:pt>
                <c:pt idx="38">
                  <c:v>2.53333346E-2</c:v>
                </c:pt>
                <c:pt idx="39">
                  <c:v>2.6000001299999999E-2</c:v>
                </c:pt>
                <c:pt idx="40">
                  <c:v>2.6666668000000001E-2</c:v>
                </c:pt>
                <c:pt idx="41">
                  <c:v>2.73333347E-2</c:v>
                </c:pt>
                <c:pt idx="42">
                  <c:v>2.8000001399999998E-2</c:v>
                </c:pt>
                <c:pt idx="43">
                  <c:v>2.8666668100000001E-2</c:v>
                </c:pt>
                <c:pt idx="44">
                  <c:v>2.9333334799999999E-2</c:v>
                </c:pt>
                <c:pt idx="45">
                  <c:v>3.0000001500000002E-2</c:v>
                </c:pt>
                <c:pt idx="46">
                  <c:v>3.06666682E-2</c:v>
                </c:pt>
                <c:pt idx="47">
                  <c:v>3.1333334900000002E-2</c:v>
                </c:pt>
                <c:pt idx="48">
                  <c:v>3.2000001600000001E-2</c:v>
                </c:pt>
                <c:pt idx="49">
                  <c:v>3.26666683E-2</c:v>
                </c:pt>
                <c:pt idx="50">
                  <c:v>3.3333334999999999E-2</c:v>
                </c:pt>
                <c:pt idx="51">
                  <c:v>3.4000001699999997E-2</c:v>
                </c:pt>
                <c:pt idx="52">
                  <c:v>3.4666668400000003E-2</c:v>
                </c:pt>
                <c:pt idx="53">
                  <c:v>3.5333335100000002E-2</c:v>
                </c:pt>
                <c:pt idx="54">
                  <c:v>3.60000018E-2</c:v>
                </c:pt>
                <c:pt idx="55">
                  <c:v>3.6666668499999999E-2</c:v>
                </c:pt>
                <c:pt idx="56">
                  <c:v>3.7333335199999998E-2</c:v>
                </c:pt>
                <c:pt idx="57">
                  <c:v>3.8000001899999997E-2</c:v>
                </c:pt>
                <c:pt idx="58">
                  <c:v>3.8666668600000002E-2</c:v>
                </c:pt>
                <c:pt idx="59">
                  <c:v>3.9333335300000001E-2</c:v>
                </c:pt>
                <c:pt idx="60">
                  <c:v>4.0000002E-2</c:v>
                </c:pt>
                <c:pt idx="61">
                  <c:v>4.0666668699999999E-2</c:v>
                </c:pt>
                <c:pt idx="62">
                  <c:v>4.1333335399999997E-2</c:v>
                </c:pt>
                <c:pt idx="63">
                  <c:v>4.2000002100000003E-2</c:v>
                </c:pt>
                <c:pt idx="64">
                  <c:v>4.2666668800000002E-2</c:v>
                </c:pt>
                <c:pt idx="65">
                  <c:v>4.33333355E-2</c:v>
                </c:pt>
                <c:pt idx="66">
                  <c:v>4.4000002199999999E-2</c:v>
                </c:pt>
                <c:pt idx="67">
                  <c:v>4.4666668899999998E-2</c:v>
                </c:pt>
                <c:pt idx="68">
                  <c:v>4.5333335600000003E-2</c:v>
                </c:pt>
                <c:pt idx="69">
                  <c:v>4.6000002300000002E-2</c:v>
                </c:pt>
                <c:pt idx="70">
                  <c:v>4.6666669000000001E-2</c:v>
                </c:pt>
                <c:pt idx="71">
                  <c:v>4.73333357E-2</c:v>
                </c:pt>
                <c:pt idx="72">
                  <c:v>4.8000002399999998E-2</c:v>
                </c:pt>
                <c:pt idx="73">
                  <c:v>4.8666669099999997E-2</c:v>
                </c:pt>
                <c:pt idx="74">
                  <c:v>4.9333335800000003E-2</c:v>
                </c:pt>
                <c:pt idx="75">
                  <c:v>5.0000002500000001E-2</c:v>
                </c:pt>
                <c:pt idx="76">
                  <c:v>5.06666692E-2</c:v>
                </c:pt>
                <c:pt idx="77">
                  <c:v>5.1333335899999999E-2</c:v>
                </c:pt>
                <c:pt idx="78">
                  <c:v>5.2000002599999998E-2</c:v>
                </c:pt>
                <c:pt idx="79">
                  <c:v>5.2666669300000003E-2</c:v>
                </c:pt>
                <c:pt idx="80">
                  <c:v>5.3333336000000002E-2</c:v>
                </c:pt>
                <c:pt idx="81">
                  <c:v>5.4000002700000001E-2</c:v>
                </c:pt>
                <c:pt idx="82">
                  <c:v>5.4666669399999999E-2</c:v>
                </c:pt>
                <c:pt idx="83">
                  <c:v>5.5333336099999998E-2</c:v>
                </c:pt>
                <c:pt idx="84">
                  <c:v>5.6000002799999997E-2</c:v>
                </c:pt>
                <c:pt idx="85">
                  <c:v>5.6666669500000003E-2</c:v>
                </c:pt>
                <c:pt idx="86">
                  <c:v>5.7333336200000001E-2</c:v>
                </c:pt>
                <c:pt idx="87">
                  <c:v>5.80000029E-2</c:v>
                </c:pt>
                <c:pt idx="88">
                  <c:v>5.8666669599999999E-2</c:v>
                </c:pt>
                <c:pt idx="89">
                  <c:v>5.9333336299999997E-2</c:v>
                </c:pt>
                <c:pt idx="90">
                  <c:v>6.0000003000000003E-2</c:v>
                </c:pt>
                <c:pt idx="91">
                  <c:v>6.0666669700000002E-2</c:v>
                </c:pt>
                <c:pt idx="92">
                  <c:v>6.1333336400000001E-2</c:v>
                </c:pt>
                <c:pt idx="93">
                  <c:v>6.2000003099999999E-2</c:v>
                </c:pt>
                <c:pt idx="94">
                  <c:v>6.2666669800000005E-2</c:v>
                </c:pt>
                <c:pt idx="95">
                  <c:v>6.3333336500000004E-2</c:v>
                </c:pt>
                <c:pt idx="96">
                  <c:v>6.4000003200000002E-2</c:v>
                </c:pt>
                <c:pt idx="97">
                  <c:v>6.4666669900000001E-2</c:v>
                </c:pt>
                <c:pt idx="98">
                  <c:v>6.53333366E-2</c:v>
                </c:pt>
                <c:pt idx="99">
                  <c:v>6.6000003299999999E-2</c:v>
                </c:pt>
                <c:pt idx="100">
                  <c:v>6.6666669999999997E-2</c:v>
                </c:pt>
              </c:numCache>
            </c:numRef>
          </c:xVal>
          <c:yVal>
            <c:numRef>
              <c:f>'No Load'!$E$3:$E$103</c:f>
              <c:numCache>
                <c:formatCode>0.0</c:formatCode>
                <c:ptCount val="101"/>
                <c:pt idx="0">
                  <c:v>2.5560904844600001E-6</c:v>
                </c:pt>
                <c:pt idx="1">
                  <c:v>-8.2790127631499999</c:v>
                </c:pt>
                <c:pt idx="2">
                  <c:v>-21.285975449799999</c:v>
                </c:pt>
                <c:pt idx="3">
                  <c:v>-23.975119150800001</c:v>
                </c:pt>
                <c:pt idx="4">
                  <c:v>-12.7737015087</c:v>
                </c:pt>
                <c:pt idx="5">
                  <c:v>18.650795451</c:v>
                </c:pt>
                <c:pt idx="6">
                  <c:v>60.614161231499999</c:v>
                </c:pt>
                <c:pt idx="7">
                  <c:v>138.803227991</c:v>
                </c:pt>
                <c:pt idx="8">
                  <c:v>206.963267618</c:v>
                </c:pt>
                <c:pt idx="9">
                  <c:v>236.08471172899999</c:v>
                </c:pt>
                <c:pt idx="10">
                  <c:v>241.570363923</c:v>
                </c:pt>
                <c:pt idx="11">
                  <c:v>240.95522875099999</c:v>
                </c:pt>
                <c:pt idx="12">
                  <c:v>236.03354236600001</c:v>
                </c:pt>
                <c:pt idx="13">
                  <c:v>227.91995311299999</c:v>
                </c:pt>
                <c:pt idx="14">
                  <c:v>217.34398732400001</c:v>
                </c:pt>
                <c:pt idx="15">
                  <c:v>203.53763349499999</c:v>
                </c:pt>
                <c:pt idx="16">
                  <c:v>181.65103516400001</c:v>
                </c:pt>
                <c:pt idx="17">
                  <c:v>140.01237569700001</c:v>
                </c:pt>
                <c:pt idx="18">
                  <c:v>92.415478393100003</c:v>
                </c:pt>
                <c:pt idx="19">
                  <c:v>49.564363260299999</c:v>
                </c:pt>
                <c:pt idx="20">
                  <c:v>14.9236646216</c:v>
                </c:pt>
                <c:pt idx="21">
                  <c:v>-4.4584933530199997</c:v>
                </c:pt>
                <c:pt idx="22">
                  <c:v>-14.9624191199</c:v>
                </c:pt>
                <c:pt idx="23">
                  <c:v>-17.474427798899999</c:v>
                </c:pt>
                <c:pt idx="24">
                  <c:v>-13.3078787424</c:v>
                </c:pt>
                <c:pt idx="25">
                  <c:v>-4.9037091288500001</c:v>
                </c:pt>
                <c:pt idx="26">
                  <c:v>6.8072896161700003</c:v>
                </c:pt>
                <c:pt idx="27">
                  <c:v>17.615290570100001</c:v>
                </c:pt>
                <c:pt idx="28">
                  <c:v>20.3006135386</c:v>
                </c:pt>
                <c:pt idx="29">
                  <c:v>10.5903299838</c:v>
                </c:pt>
                <c:pt idx="30">
                  <c:v>-12.782540490200001</c:v>
                </c:pt>
                <c:pt idx="31">
                  <c:v>-62.447687532800003</c:v>
                </c:pt>
                <c:pt idx="32">
                  <c:v>-140.77570951300001</c:v>
                </c:pt>
                <c:pt idx="33">
                  <c:v>-206.575608303</c:v>
                </c:pt>
                <c:pt idx="34">
                  <c:v>-235.675022445</c:v>
                </c:pt>
                <c:pt idx="35">
                  <c:v>-240.640826154</c:v>
                </c:pt>
                <c:pt idx="36">
                  <c:v>-240.11467170399999</c:v>
                </c:pt>
                <c:pt idx="37">
                  <c:v>-236.08822139899999</c:v>
                </c:pt>
                <c:pt idx="38">
                  <c:v>-228.70231752399999</c:v>
                </c:pt>
                <c:pt idx="39">
                  <c:v>-218.16877625399999</c:v>
                </c:pt>
                <c:pt idx="40">
                  <c:v>-203.98955857000001</c:v>
                </c:pt>
                <c:pt idx="41">
                  <c:v>-181.959953856</c:v>
                </c:pt>
                <c:pt idx="42">
                  <c:v>-140.20176094000001</c:v>
                </c:pt>
                <c:pt idx="43">
                  <c:v>-89.882328455600003</c:v>
                </c:pt>
                <c:pt idx="44">
                  <c:v>-47.790131301300001</c:v>
                </c:pt>
                <c:pt idx="45">
                  <c:v>-21.060942710399999</c:v>
                </c:pt>
                <c:pt idx="46">
                  <c:v>5.3185563475100004</c:v>
                </c:pt>
                <c:pt idx="47">
                  <c:v>17.685091043300002</c:v>
                </c:pt>
                <c:pt idx="48">
                  <c:v>20.7969001019</c:v>
                </c:pt>
                <c:pt idx="49">
                  <c:v>16.148330803699999</c:v>
                </c:pt>
                <c:pt idx="50">
                  <c:v>47.952056600299997</c:v>
                </c:pt>
                <c:pt idx="51">
                  <c:v>-50.262831411299999</c:v>
                </c:pt>
                <c:pt idx="52">
                  <c:v>-21.2871522248</c:v>
                </c:pt>
                <c:pt idx="53">
                  <c:v>-23.971892941299998</c:v>
                </c:pt>
                <c:pt idx="54">
                  <c:v>-12.769480811499999</c:v>
                </c:pt>
                <c:pt idx="55">
                  <c:v>18.649106562299998</c:v>
                </c:pt>
                <c:pt idx="56">
                  <c:v>60.6222585915</c:v>
                </c:pt>
                <c:pt idx="57">
                  <c:v>138.813584975</c:v>
                </c:pt>
                <c:pt idx="58">
                  <c:v>206.959818751</c:v>
                </c:pt>
                <c:pt idx="59">
                  <c:v>236.085528826</c:v>
                </c:pt>
                <c:pt idx="60">
                  <c:v>241.56912870799999</c:v>
                </c:pt>
                <c:pt idx="61">
                  <c:v>240.95621093</c:v>
                </c:pt>
                <c:pt idx="62">
                  <c:v>236.033568817</c:v>
                </c:pt>
                <c:pt idx="63">
                  <c:v>227.919367583</c:v>
                </c:pt>
                <c:pt idx="64">
                  <c:v>217.343155583</c:v>
                </c:pt>
                <c:pt idx="65">
                  <c:v>203.53619720099999</c:v>
                </c:pt>
                <c:pt idx="66">
                  <c:v>181.64731697299999</c:v>
                </c:pt>
                <c:pt idx="67">
                  <c:v>140.01005894900001</c:v>
                </c:pt>
                <c:pt idx="68">
                  <c:v>92.412537761899998</c:v>
                </c:pt>
                <c:pt idx="69">
                  <c:v>49.558596091799998</c:v>
                </c:pt>
                <c:pt idx="70">
                  <c:v>14.926699960200001</c:v>
                </c:pt>
                <c:pt idx="71">
                  <c:v>-4.4610638532299998</c:v>
                </c:pt>
                <c:pt idx="72">
                  <c:v>-14.9667343117</c:v>
                </c:pt>
                <c:pt idx="73">
                  <c:v>-17.451381618500001</c:v>
                </c:pt>
                <c:pt idx="74">
                  <c:v>-13.3286626913</c:v>
                </c:pt>
                <c:pt idx="75">
                  <c:v>-5.6092058574500001</c:v>
                </c:pt>
                <c:pt idx="76">
                  <c:v>7.5144865007800004</c:v>
                </c:pt>
                <c:pt idx="77">
                  <c:v>17.616191494500001</c:v>
                </c:pt>
                <c:pt idx="78">
                  <c:v>20.300896103300001</c:v>
                </c:pt>
                <c:pt idx="79">
                  <c:v>10.5894945559</c:v>
                </c:pt>
                <c:pt idx="80">
                  <c:v>-12.783663861599999</c:v>
                </c:pt>
                <c:pt idx="81">
                  <c:v>-62.4437354246</c:v>
                </c:pt>
                <c:pt idx="82">
                  <c:v>-140.782694034</c:v>
                </c:pt>
                <c:pt idx="83">
                  <c:v>-206.57775895899999</c:v>
                </c:pt>
                <c:pt idx="84">
                  <c:v>-235.676455318</c:v>
                </c:pt>
                <c:pt idx="85">
                  <c:v>-240.640511645</c:v>
                </c:pt>
                <c:pt idx="86">
                  <c:v>-240.114204583</c:v>
                </c:pt>
                <c:pt idx="87">
                  <c:v>-236.08903309499999</c:v>
                </c:pt>
                <c:pt idx="88">
                  <c:v>-228.70164359899999</c:v>
                </c:pt>
                <c:pt idx="89">
                  <c:v>-218.168057874</c:v>
                </c:pt>
                <c:pt idx="90">
                  <c:v>-203.98913430600001</c:v>
                </c:pt>
                <c:pt idx="91">
                  <c:v>-181.96337770599999</c:v>
                </c:pt>
                <c:pt idx="92">
                  <c:v>-140.19579734999999</c:v>
                </c:pt>
                <c:pt idx="93">
                  <c:v>-89.8680224796</c:v>
                </c:pt>
                <c:pt idx="94">
                  <c:v>-47.811254333900003</c:v>
                </c:pt>
                <c:pt idx="95">
                  <c:v>-21.051652883199999</c:v>
                </c:pt>
                <c:pt idx="96">
                  <c:v>5.3195126297500002</c:v>
                </c:pt>
                <c:pt idx="97">
                  <c:v>17.684838742499998</c:v>
                </c:pt>
                <c:pt idx="98">
                  <c:v>20.802761505900001</c:v>
                </c:pt>
                <c:pt idx="99">
                  <c:v>16.139504212199999</c:v>
                </c:pt>
                <c:pt idx="100">
                  <c:v>35.286777757000003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170-4390-B290-261FE5D2D0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908591"/>
        <c:axId val="1055658080"/>
      </c:scatterChart>
      <c:valAx>
        <c:axId val="1043908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658080"/>
        <c:crosses val="autoZero"/>
        <c:crossBetween val="midCat"/>
      </c:valAx>
      <c:valAx>
        <c:axId val="105565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Voltage [V]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908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Torque [Nm]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Torque [Nm]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'No Load'!$C$3:$C$103</c:f>
              <c:numCache>
                <c:formatCode>0.00</c:formatCode>
                <c:ptCount val="101"/>
                <c:pt idx="0">
                  <c:v>9</c:v>
                </c:pt>
                <c:pt idx="1">
                  <c:v>8.9103999982079998</c:v>
                </c:pt>
                <c:pt idx="2">
                  <c:v>8.6415999928319991</c:v>
                </c:pt>
                <c:pt idx="3">
                  <c:v>8.1935999838719997</c:v>
                </c:pt>
                <c:pt idx="4">
                  <c:v>7.5663999713300001</c:v>
                </c:pt>
                <c:pt idx="5">
                  <c:v>6.7599999551999996</c:v>
                </c:pt>
                <c:pt idx="6">
                  <c:v>5.77439993549</c:v>
                </c:pt>
                <c:pt idx="7">
                  <c:v>4.6671998854099996</c:v>
                </c:pt>
                <c:pt idx="8">
                  <c:v>3.5791998290900002</c:v>
                </c:pt>
                <c:pt idx="9">
                  <c:v>2.5167997763500001</c:v>
                </c:pt>
                <c:pt idx="10">
                  <c:v>1.4799997272000001</c:v>
                </c:pt>
                <c:pt idx="11">
                  <c:v>0.4687996816299993</c:v>
                </c:pt>
                <c:pt idx="12">
                  <c:v>-0.51680036035000043</c:v>
                </c:pt>
                <c:pt idx="13">
                  <c:v>-1.4768003988</c:v>
                </c:pt>
                <c:pt idx="14">
                  <c:v>-2.4112004335999995</c:v>
                </c:pt>
                <c:pt idx="15">
                  <c:v>-3.3200004647999997</c:v>
                </c:pt>
                <c:pt idx="16">
                  <c:v>-4.2032004924000006</c:v>
                </c:pt>
                <c:pt idx="17">
                  <c:v>-5.0608005165000005</c:v>
                </c:pt>
                <c:pt idx="18">
                  <c:v>-5.8928005369999994</c:v>
                </c:pt>
                <c:pt idx="19">
                  <c:v>-6.6960005327999994</c:v>
                </c:pt>
                <c:pt idx="20">
                  <c:v>-7.400000519999999</c:v>
                </c:pt>
                <c:pt idx="21">
                  <c:v>-7.9760005967999987</c:v>
                </c:pt>
                <c:pt idx="22">
                  <c:v>-8.4240007631999987</c:v>
                </c:pt>
                <c:pt idx="23">
                  <c:v>-8.7440010191999988</c:v>
                </c:pt>
                <c:pt idx="24">
                  <c:v>-8.9360013647999992</c:v>
                </c:pt>
                <c:pt idx="25">
                  <c:v>-9.0000017999999997</c:v>
                </c:pt>
                <c:pt idx="26">
                  <c:v>-8.9104023197000011</c:v>
                </c:pt>
                <c:pt idx="27">
                  <c:v>-8.6416025346999987</c:v>
                </c:pt>
                <c:pt idx="28">
                  <c:v>-8.1936024451000016</c:v>
                </c:pt>
                <c:pt idx="29">
                  <c:v>-7.566402050899999</c:v>
                </c:pt>
                <c:pt idx="30">
                  <c:v>-6.7600013519999997</c:v>
                </c:pt>
                <c:pt idx="31">
                  <c:v>-5.7744003485000004</c:v>
                </c:pt>
                <c:pt idx="32">
                  <c:v>-4.6672001289999994</c:v>
                </c:pt>
                <c:pt idx="33">
                  <c:v>-3.5792002186000005</c:v>
                </c:pt>
                <c:pt idx="34">
                  <c:v>-2.5168002902000008</c:v>
                </c:pt>
                <c:pt idx="35">
                  <c:v>-1.4800003440000005</c:v>
                </c:pt>
                <c:pt idx="36">
                  <c:v>-0.46880037983999934</c:v>
                </c:pt>
                <c:pt idx="37">
                  <c:v>0.51679960224000077</c:v>
                </c:pt>
                <c:pt idx="38">
                  <c:v>1.4767996022399998</c:v>
                </c:pt>
                <c:pt idx="39">
                  <c:v>2.4111996201599997</c:v>
                </c:pt>
                <c:pt idx="40">
                  <c:v>3.3199996560000002</c:v>
                </c:pt>
                <c:pt idx="41">
                  <c:v>4.2031997097599998</c:v>
                </c:pt>
                <c:pt idx="42">
                  <c:v>5.0607997814400001</c:v>
                </c:pt>
                <c:pt idx="43">
                  <c:v>5.8927998710399994</c:v>
                </c:pt>
                <c:pt idx="44">
                  <c:v>6.6960000144</c:v>
                </c:pt>
                <c:pt idx="45">
                  <c:v>7.3999995599999995</c:v>
                </c:pt>
                <c:pt idx="46">
                  <c:v>7.9759979663799996</c:v>
                </c:pt>
                <c:pt idx="47">
                  <c:v>8.4239952335569992</c:v>
                </c:pt>
                <c:pt idx="48">
                  <c:v>8.7439913615229994</c:v>
                </c:pt>
                <c:pt idx="49">
                  <c:v>8.9359863502780996</c:v>
                </c:pt>
                <c:pt idx="50">
                  <c:v>8.99998019975307</c:v>
                </c:pt>
                <c:pt idx="51">
                  <c:v>8.9103707899613998</c:v>
                </c:pt>
                <c:pt idx="52">
                  <c:v>8.6415613765860009</c:v>
                </c:pt>
                <c:pt idx="53">
                  <c:v>8.1935519596259994</c:v>
                </c:pt>
                <c:pt idx="54">
                  <c:v>7.5663425390799999</c:v>
                </c:pt>
                <c:pt idx="55">
                  <c:v>6.7599331149499999</c:v>
                </c:pt>
                <c:pt idx="56">
                  <c:v>5.7743236872399999</c:v>
                </c:pt>
                <c:pt idx="57">
                  <c:v>4.6671222934400003</c:v>
                </c:pt>
                <c:pt idx="58">
                  <c:v>3.5791235811200002</c:v>
                </c:pt>
                <c:pt idx="59">
                  <c:v>2.5167248723900002</c:v>
                </c:pt>
                <c:pt idx="60">
                  <c:v>1.4799261672400004</c:v>
                </c:pt>
                <c:pt idx="61">
                  <c:v>0.46872746566999979</c:v>
                </c:pt>
                <c:pt idx="62">
                  <c:v>-0.51687123231999976</c:v>
                </c:pt>
                <c:pt idx="63">
                  <c:v>-1.4768699266999992</c:v>
                </c:pt>
                <c:pt idx="64">
                  <c:v>-2.4112686174999993</c:v>
                </c:pt>
                <c:pt idx="65">
                  <c:v>-3.3200673048000002</c:v>
                </c:pt>
                <c:pt idx="66">
                  <c:v>-4.2032659884000001</c:v>
                </c:pt>
                <c:pt idx="67">
                  <c:v>-5.0608646685000007</c:v>
                </c:pt>
                <c:pt idx="68">
                  <c:v>-5.8928633450000003</c:v>
                </c:pt>
                <c:pt idx="69">
                  <c:v>-6.6960606525999999</c:v>
                </c:pt>
                <c:pt idx="70">
                  <c:v>-7.4000539198000013</c:v>
                </c:pt>
                <c:pt idx="71">
                  <c:v>-7.9760472765999992</c:v>
                </c:pt>
                <c:pt idx="72">
                  <c:v>-8.424040723000001</c:v>
                </c:pt>
                <c:pt idx="73">
                  <c:v>-8.7440342589999993</c:v>
                </c:pt>
                <c:pt idx="74">
                  <c:v>-8.9360278846000014</c:v>
                </c:pt>
                <c:pt idx="75">
                  <c:v>-9.0000215998000002</c:v>
                </c:pt>
                <c:pt idx="76">
                  <c:v>-8.9104127115000011</c:v>
                </c:pt>
                <c:pt idx="77">
                  <c:v>-8.6416035184999984</c:v>
                </c:pt>
                <c:pt idx="78">
                  <c:v>-8.1935940209000009</c:v>
                </c:pt>
                <c:pt idx="79">
                  <c:v>-7.5663842185999997</c:v>
                </c:pt>
                <c:pt idx="80">
                  <c:v>-6.7599741117000001</c:v>
                </c:pt>
                <c:pt idx="81">
                  <c:v>-5.7743637002000003</c:v>
                </c:pt>
                <c:pt idx="82">
                  <c:v>-4.667162137</c:v>
                </c:pt>
                <c:pt idx="83">
                  <c:v>-3.5791635706000005</c:v>
                </c:pt>
                <c:pt idx="84">
                  <c:v>-2.5167649863000001</c:v>
                </c:pt>
                <c:pt idx="85">
                  <c:v>-1.4799663840000008</c:v>
                </c:pt>
                <c:pt idx="86">
                  <c:v>-0.46876776388000074</c:v>
                </c:pt>
                <c:pt idx="87">
                  <c:v>0.51683087420000007</c:v>
                </c:pt>
                <c:pt idx="88">
                  <c:v>1.4768295301999999</c:v>
                </c:pt>
                <c:pt idx="89">
                  <c:v>2.4112282041200004</c:v>
                </c:pt>
                <c:pt idx="90">
                  <c:v>3.3200268959599999</c:v>
                </c:pt>
                <c:pt idx="91">
                  <c:v>4.2032256057300001</c:v>
                </c:pt>
                <c:pt idx="92">
                  <c:v>5.0608243334100003</c:v>
                </c:pt>
                <c:pt idx="93">
                  <c:v>5.8928230790100002</c:v>
                </c:pt>
                <c:pt idx="94">
                  <c:v>6.6960205342299997</c:v>
                </c:pt>
                <c:pt idx="95">
                  <c:v>7.40001335976</c:v>
                </c:pt>
                <c:pt idx="96">
                  <c:v>7.9760050460900001</c:v>
                </c:pt>
                <c:pt idx="97">
                  <c:v>8.4239955932059996</c:v>
                </c:pt>
                <c:pt idx="98">
                  <c:v>8.7439850011119997</c:v>
                </c:pt>
                <c:pt idx="99">
                  <c:v>8.9359732698084002</c:v>
                </c:pt>
                <c:pt idx="100">
                  <c:v>8.9999603990122345</c:v>
                </c:pt>
              </c:numCache>
            </c:numRef>
          </c:xVal>
          <c:yVal>
            <c:numRef>
              <c:f>'No Load'!$D$3:$D$103</c:f>
              <c:numCache>
                <c:formatCode>0.0</c:formatCode>
                <c:ptCount val="101"/>
                <c:pt idx="0">
                  <c:v>-512.66490129800002</c:v>
                </c:pt>
                <c:pt idx="1">
                  <c:v>-492.79490185399999</c:v>
                </c:pt>
                <c:pt idx="2">
                  <c:v>-423.49266635700002</c:v>
                </c:pt>
                <c:pt idx="3">
                  <c:v>-275.61818104600002</c:v>
                </c:pt>
                <c:pt idx="4">
                  <c:v>-15.3774013823</c:v>
                </c:pt>
                <c:pt idx="5">
                  <c:v>316.50979052500003</c:v>
                </c:pt>
                <c:pt idx="6">
                  <c:v>588.99771717700003</c:v>
                </c:pt>
                <c:pt idx="7">
                  <c:v>620.440778755</c:v>
                </c:pt>
                <c:pt idx="8">
                  <c:v>444.50219599500002</c:v>
                </c:pt>
                <c:pt idx="9">
                  <c:v>254.15374406399999</c:v>
                </c:pt>
                <c:pt idx="10">
                  <c:v>122.972808521</c:v>
                </c:pt>
                <c:pt idx="11">
                  <c:v>31.109421295299999</c:v>
                </c:pt>
                <c:pt idx="12">
                  <c:v>-46.120367992399999</c:v>
                </c:pt>
                <c:pt idx="13">
                  <c:v>-119.418065152</c:v>
                </c:pt>
                <c:pt idx="14">
                  <c:v>-220.59641170399999</c:v>
                </c:pt>
                <c:pt idx="15">
                  <c:v>-363.94307924499998</c:v>
                </c:pt>
                <c:pt idx="16">
                  <c:v>-528.46336211200003</c:v>
                </c:pt>
                <c:pt idx="17">
                  <c:v>-605.01469824900005</c:v>
                </c:pt>
                <c:pt idx="18">
                  <c:v>-530.20983713199996</c:v>
                </c:pt>
                <c:pt idx="19">
                  <c:v>-310.24858749499998</c:v>
                </c:pt>
                <c:pt idx="20">
                  <c:v>-28.6615878683</c:v>
                </c:pt>
                <c:pt idx="21">
                  <c:v>214.67233874999999</c:v>
                </c:pt>
                <c:pt idx="22">
                  <c:v>384.62455224299998</c:v>
                </c:pt>
                <c:pt idx="23">
                  <c:v>483.336154308</c:v>
                </c:pt>
                <c:pt idx="24">
                  <c:v>532.03925010499995</c:v>
                </c:pt>
                <c:pt idx="25">
                  <c:v>546.60164895399998</c:v>
                </c:pt>
                <c:pt idx="26">
                  <c:v>526.00013034599999</c:v>
                </c:pt>
                <c:pt idx="27">
                  <c:v>454.16347350000001</c:v>
                </c:pt>
                <c:pt idx="28">
                  <c:v>300.65729678700001</c:v>
                </c:pt>
                <c:pt idx="29">
                  <c:v>42.343769297800002</c:v>
                </c:pt>
                <c:pt idx="30">
                  <c:v>-287.26549350300002</c:v>
                </c:pt>
                <c:pt idx="31">
                  <c:v>-550.47717780999994</c:v>
                </c:pt>
                <c:pt idx="32">
                  <c:v>-586.05097275499998</c:v>
                </c:pt>
                <c:pt idx="33">
                  <c:v>-414.759848551</c:v>
                </c:pt>
                <c:pt idx="34">
                  <c:v>-233.885291669</c:v>
                </c:pt>
                <c:pt idx="35">
                  <c:v>-119.72389113200001</c:v>
                </c:pt>
                <c:pt idx="36">
                  <c:v>-42.808390231200001</c:v>
                </c:pt>
                <c:pt idx="37">
                  <c:v>35.239816862799998</c:v>
                </c:pt>
                <c:pt idx="38">
                  <c:v>122.659010771</c:v>
                </c:pt>
                <c:pt idx="39">
                  <c:v>237.90393129500001</c:v>
                </c:pt>
                <c:pt idx="40">
                  <c:v>392.02840911700002</c:v>
                </c:pt>
                <c:pt idx="41">
                  <c:v>561.73377266399996</c:v>
                </c:pt>
                <c:pt idx="42">
                  <c:v>639.69208290500001</c:v>
                </c:pt>
                <c:pt idx="43">
                  <c:v>568.33122282299996</c:v>
                </c:pt>
                <c:pt idx="44">
                  <c:v>339.38042490700002</c:v>
                </c:pt>
                <c:pt idx="45">
                  <c:v>58.127506126199997</c:v>
                </c:pt>
                <c:pt idx="46">
                  <c:v>-190.880971585</c:v>
                </c:pt>
                <c:pt idx="47">
                  <c:v>-356.53749789099999</c:v>
                </c:pt>
                <c:pt idx="48">
                  <c:v>-451.66057693200003</c:v>
                </c:pt>
                <c:pt idx="49">
                  <c:v>-498.62832897300001</c:v>
                </c:pt>
                <c:pt idx="50">
                  <c:v>-368.720235651</c:v>
                </c:pt>
                <c:pt idx="51">
                  <c:v>-492.78855291899998</c:v>
                </c:pt>
                <c:pt idx="52">
                  <c:v>-423.48205768600002</c:v>
                </c:pt>
                <c:pt idx="53">
                  <c:v>-275.599923445</c:v>
                </c:pt>
                <c:pt idx="54">
                  <c:v>-15.3522034421</c:v>
                </c:pt>
                <c:pt idx="55">
                  <c:v>316.53261119899997</c:v>
                </c:pt>
                <c:pt idx="56">
                  <c:v>589.01032628600001</c:v>
                </c:pt>
                <c:pt idx="57">
                  <c:v>620.42719434900005</c:v>
                </c:pt>
                <c:pt idx="58">
                  <c:v>444.487526301</c:v>
                </c:pt>
                <c:pt idx="59">
                  <c:v>254.14184641599999</c:v>
                </c:pt>
                <c:pt idx="60">
                  <c:v>122.968154023</c:v>
                </c:pt>
                <c:pt idx="61">
                  <c:v>31.103719798</c:v>
                </c:pt>
                <c:pt idx="62">
                  <c:v>-46.125522903499999</c:v>
                </c:pt>
                <c:pt idx="63">
                  <c:v>-119.424637898</c:v>
                </c:pt>
                <c:pt idx="64">
                  <c:v>-220.60440467699999</c:v>
                </c:pt>
                <c:pt idx="65">
                  <c:v>-363.95518281699998</c:v>
                </c:pt>
                <c:pt idx="66">
                  <c:v>-528.47084276999999</c:v>
                </c:pt>
                <c:pt idx="67">
                  <c:v>-605.01334400600001</c:v>
                </c:pt>
                <c:pt idx="68">
                  <c:v>-530.19805604199996</c:v>
                </c:pt>
                <c:pt idx="69">
                  <c:v>-310.22636661500002</c:v>
                </c:pt>
                <c:pt idx="70">
                  <c:v>-28.644057086299998</c:v>
                </c:pt>
                <c:pt idx="71">
                  <c:v>214.69132345</c:v>
                </c:pt>
                <c:pt idx="72">
                  <c:v>384.63641714300002</c:v>
                </c:pt>
                <c:pt idx="73">
                  <c:v>483.36267544200001</c:v>
                </c:pt>
                <c:pt idx="74">
                  <c:v>532.043127863</c:v>
                </c:pt>
                <c:pt idx="75">
                  <c:v>543.28439669800002</c:v>
                </c:pt>
                <c:pt idx="76">
                  <c:v>526.00258348399996</c:v>
                </c:pt>
                <c:pt idx="77">
                  <c:v>454.16444867799999</c:v>
                </c:pt>
                <c:pt idx="78">
                  <c:v>300.65424849099998</c:v>
                </c:pt>
                <c:pt idx="79">
                  <c:v>42.333570398200003</c:v>
                </c:pt>
                <c:pt idx="80">
                  <c:v>-287.27537492300002</c:v>
                </c:pt>
                <c:pt idx="81">
                  <c:v>-550.48712503100001</c:v>
                </c:pt>
                <c:pt idx="82">
                  <c:v>-586.04953116700005</c:v>
                </c:pt>
                <c:pt idx="83">
                  <c:v>-414.75595226600001</c:v>
                </c:pt>
                <c:pt idx="84">
                  <c:v>-233.87597636000001</c:v>
                </c:pt>
                <c:pt idx="85">
                  <c:v>-119.721555388</c:v>
                </c:pt>
                <c:pt idx="86">
                  <c:v>-42.807366459000001</c:v>
                </c:pt>
                <c:pt idx="87">
                  <c:v>35.242753254599997</c:v>
                </c:pt>
                <c:pt idx="88">
                  <c:v>122.66204407799999</c:v>
                </c:pt>
                <c:pt idx="89">
                  <c:v>237.90808876299999</c:v>
                </c:pt>
                <c:pt idx="90">
                  <c:v>392.03376885099999</c:v>
                </c:pt>
                <c:pt idx="91">
                  <c:v>561.74375423900005</c:v>
                </c:pt>
                <c:pt idx="92">
                  <c:v>639.69228251799996</c:v>
                </c:pt>
                <c:pt idx="93">
                  <c:v>568.315222393</c:v>
                </c:pt>
                <c:pt idx="94">
                  <c:v>339.37023597299998</c:v>
                </c:pt>
                <c:pt idx="95">
                  <c:v>58.1216509124</c:v>
                </c:pt>
                <c:pt idx="96">
                  <c:v>-190.883897093</c:v>
                </c:pt>
                <c:pt idx="97">
                  <c:v>-356.537585342</c:v>
                </c:pt>
                <c:pt idx="98">
                  <c:v>-451.65535589199999</c:v>
                </c:pt>
                <c:pt idx="99">
                  <c:v>-498.62860240600003</c:v>
                </c:pt>
                <c:pt idx="100">
                  <c:v>-400.32875702400003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76D-4662-AEE5-C58832D32B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908591"/>
        <c:axId val="1055658080"/>
      </c:scatterChart>
      <c:valAx>
        <c:axId val="1043908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Angle [Deg]</a:t>
                </a:r>
              </a:p>
            </c:rich>
          </c:tx>
          <c:layout>
            <c:manualLayout>
              <c:xMode val="edge"/>
              <c:yMode val="edge"/>
              <c:x val="0.43784845390105209"/>
              <c:y val="0.872700786151135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658080"/>
        <c:crosses val="autoZero"/>
        <c:crossBetween val="midCat"/>
      </c:valAx>
      <c:valAx>
        <c:axId val="105565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Torque [Nm]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908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Torque [Nm]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Torque [Nm]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'10 Ohm'!$B$3:$B$53</c:f>
              <c:numCache>
                <c:formatCode>General</c:formatCode>
                <c:ptCount val="51"/>
                <c:pt idx="0">
                  <c:v>0</c:v>
                </c:pt>
                <c:pt idx="1">
                  <c:v>6.6666670000000003E-4</c:v>
                </c:pt>
                <c:pt idx="2">
                  <c:v>1.3333334000000001E-3</c:v>
                </c:pt>
                <c:pt idx="3">
                  <c:v>2.0000001000000001E-3</c:v>
                </c:pt>
                <c:pt idx="4">
                  <c:v>2.6666668000000001E-3</c:v>
                </c:pt>
                <c:pt idx="5">
                  <c:v>3.3333335000000001E-3</c:v>
                </c:pt>
                <c:pt idx="6">
                  <c:v>4.0000002000000002E-3</c:v>
                </c:pt>
                <c:pt idx="7">
                  <c:v>4.6666668999999997E-3</c:v>
                </c:pt>
                <c:pt idx="8">
                  <c:v>5.3333336000000002E-3</c:v>
                </c:pt>
                <c:pt idx="9">
                  <c:v>6.0000002999999998E-3</c:v>
                </c:pt>
                <c:pt idx="10">
                  <c:v>6.6666670000000003E-3</c:v>
                </c:pt>
                <c:pt idx="11">
                  <c:v>7.3333336999999998E-3</c:v>
                </c:pt>
                <c:pt idx="12">
                  <c:v>8.0000004000000003E-3</c:v>
                </c:pt>
                <c:pt idx="13">
                  <c:v>8.6666671000000008E-3</c:v>
                </c:pt>
                <c:pt idx="14">
                  <c:v>9.3333337999999995E-3</c:v>
                </c:pt>
                <c:pt idx="15">
                  <c:v>1.00000005E-2</c:v>
                </c:pt>
                <c:pt idx="16">
                  <c:v>1.06666672E-2</c:v>
                </c:pt>
                <c:pt idx="17">
                  <c:v>1.1333333900000001E-2</c:v>
                </c:pt>
                <c:pt idx="18">
                  <c:v>1.20000006E-2</c:v>
                </c:pt>
                <c:pt idx="19">
                  <c:v>1.26666673E-2</c:v>
                </c:pt>
                <c:pt idx="20">
                  <c:v>1.3333334000000001E-2</c:v>
                </c:pt>
                <c:pt idx="21">
                  <c:v>1.4000000699999999E-2</c:v>
                </c:pt>
                <c:pt idx="22">
                  <c:v>1.46666674E-2</c:v>
                </c:pt>
                <c:pt idx="23">
                  <c:v>1.53333341E-2</c:v>
                </c:pt>
                <c:pt idx="24">
                  <c:v>1.6000000800000001E-2</c:v>
                </c:pt>
                <c:pt idx="25">
                  <c:v>1.6666667499999999E-2</c:v>
                </c:pt>
                <c:pt idx="26">
                  <c:v>1.7333334200000002E-2</c:v>
                </c:pt>
                <c:pt idx="27">
                  <c:v>1.80000009E-2</c:v>
                </c:pt>
                <c:pt idx="28">
                  <c:v>1.8666667599999999E-2</c:v>
                </c:pt>
                <c:pt idx="29">
                  <c:v>1.9333334300000001E-2</c:v>
                </c:pt>
                <c:pt idx="30">
                  <c:v>2.0000001E-2</c:v>
                </c:pt>
                <c:pt idx="31">
                  <c:v>2.0666667699999999E-2</c:v>
                </c:pt>
                <c:pt idx="32">
                  <c:v>2.1333334400000001E-2</c:v>
                </c:pt>
                <c:pt idx="33">
                  <c:v>2.20000011E-2</c:v>
                </c:pt>
                <c:pt idx="34">
                  <c:v>2.2666667800000002E-2</c:v>
                </c:pt>
                <c:pt idx="35">
                  <c:v>2.33333345E-2</c:v>
                </c:pt>
                <c:pt idx="36">
                  <c:v>2.4000001199999999E-2</c:v>
                </c:pt>
                <c:pt idx="37">
                  <c:v>2.4666667900000001E-2</c:v>
                </c:pt>
                <c:pt idx="38">
                  <c:v>2.53333346E-2</c:v>
                </c:pt>
                <c:pt idx="39">
                  <c:v>2.6000001299999999E-2</c:v>
                </c:pt>
                <c:pt idx="40">
                  <c:v>2.6666668000000001E-2</c:v>
                </c:pt>
                <c:pt idx="41">
                  <c:v>2.73333347E-2</c:v>
                </c:pt>
                <c:pt idx="42">
                  <c:v>2.8000001399999998E-2</c:v>
                </c:pt>
                <c:pt idx="43">
                  <c:v>2.8666668100000001E-2</c:v>
                </c:pt>
                <c:pt idx="44">
                  <c:v>2.9333334799999999E-2</c:v>
                </c:pt>
                <c:pt idx="45">
                  <c:v>3.0000001500000002E-2</c:v>
                </c:pt>
                <c:pt idx="46">
                  <c:v>3.06666682E-2</c:v>
                </c:pt>
                <c:pt idx="47">
                  <c:v>3.1333334900000002E-2</c:v>
                </c:pt>
                <c:pt idx="48">
                  <c:v>3.2000001600000001E-2</c:v>
                </c:pt>
                <c:pt idx="49">
                  <c:v>3.26666683E-2</c:v>
                </c:pt>
                <c:pt idx="50">
                  <c:v>3.3333334999999999E-2</c:v>
                </c:pt>
              </c:numCache>
            </c:numRef>
          </c:xVal>
          <c:yVal>
            <c:numRef>
              <c:f>'10 Ohm'!$D$3:$D$53</c:f>
              <c:numCache>
                <c:formatCode>0.0</c:formatCode>
                <c:ptCount val="51"/>
                <c:pt idx="0">
                  <c:v>-512.66490328899999</c:v>
                </c:pt>
                <c:pt idx="1">
                  <c:v>-491.22556834800002</c:v>
                </c:pt>
                <c:pt idx="2">
                  <c:v>-419.863720237</c:v>
                </c:pt>
                <c:pt idx="3">
                  <c:v>-272.84123706000003</c:v>
                </c:pt>
                <c:pt idx="4">
                  <c:v>-15.220382157</c:v>
                </c:pt>
                <c:pt idx="5">
                  <c:v>317.684685516</c:v>
                </c:pt>
                <c:pt idx="6">
                  <c:v>603.84752835799998</c:v>
                </c:pt>
                <c:pt idx="7">
                  <c:v>682.47736127500002</c:v>
                </c:pt>
                <c:pt idx="8">
                  <c:v>577.68284719400003</c:v>
                </c:pt>
                <c:pt idx="9">
                  <c:v>434.97034406199998</c:v>
                </c:pt>
                <c:pt idx="10">
                  <c:v>328.37624225799999</c:v>
                </c:pt>
                <c:pt idx="11">
                  <c:v>244.61418398800001</c:v>
                </c:pt>
                <c:pt idx="12">
                  <c:v>164.60883720000001</c:v>
                </c:pt>
                <c:pt idx="13">
                  <c:v>81.697524525099993</c:v>
                </c:pt>
                <c:pt idx="14">
                  <c:v>-34.513093060599999</c:v>
                </c:pt>
                <c:pt idx="15">
                  <c:v>-194.696864127</c:v>
                </c:pt>
                <c:pt idx="16">
                  <c:v>-392.96585562000001</c:v>
                </c:pt>
                <c:pt idx="17">
                  <c:v>-519.95662074799998</c:v>
                </c:pt>
                <c:pt idx="18">
                  <c:v>-491.17351405199997</c:v>
                </c:pt>
                <c:pt idx="19">
                  <c:v>-299.15689316999999</c:v>
                </c:pt>
                <c:pt idx="20">
                  <c:v>-28.144090612799999</c:v>
                </c:pt>
                <c:pt idx="21">
                  <c:v>214.17352093100001</c:v>
                </c:pt>
                <c:pt idx="22">
                  <c:v>386.111768461</c:v>
                </c:pt>
                <c:pt idx="23">
                  <c:v>486.788068071</c:v>
                </c:pt>
                <c:pt idx="24">
                  <c:v>535.82308732900003</c:v>
                </c:pt>
                <c:pt idx="25">
                  <c:v>548.79205774699994</c:v>
                </c:pt>
                <c:pt idx="26">
                  <c:v>525.34873806999997</c:v>
                </c:pt>
                <c:pt idx="27">
                  <c:v>451.35740602999999</c:v>
                </c:pt>
                <c:pt idx="28">
                  <c:v>298.37630209899999</c:v>
                </c:pt>
                <c:pt idx="29">
                  <c:v>42.2044628162</c:v>
                </c:pt>
                <c:pt idx="30">
                  <c:v>-287.98820409799998</c:v>
                </c:pt>
                <c:pt idx="31">
                  <c:v>-565.521698861</c:v>
                </c:pt>
                <c:pt idx="32">
                  <c:v>-649.25803270400002</c:v>
                </c:pt>
                <c:pt idx="33">
                  <c:v>-547.53584130399997</c:v>
                </c:pt>
                <c:pt idx="34">
                  <c:v>-413.90629661299999</c:v>
                </c:pt>
                <c:pt idx="35">
                  <c:v>-323.70498522899999</c:v>
                </c:pt>
                <c:pt idx="36">
                  <c:v>-255.10413535999999</c:v>
                </c:pt>
                <c:pt idx="37">
                  <c:v>-175.475295174</c:v>
                </c:pt>
                <c:pt idx="38">
                  <c:v>-79.321495111999994</c:v>
                </c:pt>
                <c:pt idx="39">
                  <c:v>49.930880864099997</c:v>
                </c:pt>
                <c:pt idx="40">
                  <c:v>221.92699597000001</c:v>
                </c:pt>
                <c:pt idx="41">
                  <c:v>425.80106839299998</c:v>
                </c:pt>
                <c:pt idx="42">
                  <c:v>554.81049490999999</c:v>
                </c:pt>
                <c:pt idx="43">
                  <c:v>530.06631876200004</c:v>
                </c:pt>
                <c:pt idx="44">
                  <c:v>328.56728218500001</c:v>
                </c:pt>
                <c:pt idx="45">
                  <c:v>57.519309454599998</c:v>
                </c:pt>
                <c:pt idx="46">
                  <c:v>-190.34342215199999</c:v>
                </c:pt>
                <c:pt idx="47">
                  <c:v>-358.34285018999998</c:v>
                </c:pt>
                <c:pt idx="48">
                  <c:v>-455.81823939899999</c:v>
                </c:pt>
                <c:pt idx="49">
                  <c:v>-503.19760364400003</c:v>
                </c:pt>
                <c:pt idx="50">
                  <c:v>-398.21775746899999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757-4502-AC46-28FFA6E28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908591"/>
        <c:axId val="1055658080"/>
      </c:scatterChart>
      <c:valAx>
        <c:axId val="1043908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[s]</a:t>
                </a:r>
              </a:p>
            </c:rich>
          </c:tx>
          <c:layout>
            <c:manualLayout>
              <c:xMode val="edge"/>
              <c:yMode val="edge"/>
              <c:x val="0.48709277802285461"/>
              <c:y val="0.866348554929919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658080"/>
        <c:crosses val="autoZero"/>
        <c:crossBetween val="midCat"/>
      </c:valAx>
      <c:valAx>
        <c:axId val="105565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Torque [Nm]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908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Voltage [V]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Voltage [V]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'10 Ohm'!$B$3:$B$53</c:f>
              <c:numCache>
                <c:formatCode>General</c:formatCode>
                <c:ptCount val="51"/>
                <c:pt idx="0">
                  <c:v>0</c:v>
                </c:pt>
                <c:pt idx="1">
                  <c:v>6.6666670000000003E-4</c:v>
                </c:pt>
                <c:pt idx="2">
                  <c:v>1.3333334000000001E-3</c:v>
                </c:pt>
                <c:pt idx="3">
                  <c:v>2.0000001000000001E-3</c:v>
                </c:pt>
                <c:pt idx="4">
                  <c:v>2.6666668000000001E-3</c:v>
                </c:pt>
                <c:pt idx="5">
                  <c:v>3.3333335000000001E-3</c:v>
                </c:pt>
                <c:pt idx="6">
                  <c:v>4.0000002000000002E-3</c:v>
                </c:pt>
                <c:pt idx="7">
                  <c:v>4.6666668999999997E-3</c:v>
                </c:pt>
                <c:pt idx="8">
                  <c:v>5.3333336000000002E-3</c:v>
                </c:pt>
                <c:pt idx="9">
                  <c:v>6.0000002999999998E-3</c:v>
                </c:pt>
                <c:pt idx="10">
                  <c:v>6.6666670000000003E-3</c:v>
                </c:pt>
                <c:pt idx="11">
                  <c:v>7.3333336999999998E-3</c:v>
                </c:pt>
                <c:pt idx="12">
                  <c:v>8.0000004000000003E-3</c:v>
                </c:pt>
                <c:pt idx="13">
                  <c:v>8.6666671000000008E-3</c:v>
                </c:pt>
                <c:pt idx="14">
                  <c:v>9.3333337999999995E-3</c:v>
                </c:pt>
                <c:pt idx="15">
                  <c:v>1.00000005E-2</c:v>
                </c:pt>
                <c:pt idx="16">
                  <c:v>1.06666672E-2</c:v>
                </c:pt>
                <c:pt idx="17">
                  <c:v>1.1333333900000001E-2</c:v>
                </c:pt>
                <c:pt idx="18">
                  <c:v>1.20000006E-2</c:v>
                </c:pt>
                <c:pt idx="19">
                  <c:v>1.26666673E-2</c:v>
                </c:pt>
                <c:pt idx="20">
                  <c:v>1.3333334000000001E-2</c:v>
                </c:pt>
                <c:pt idx="21">
                  <c:v>1.4000000699999999E-2</c:v>
                </c:pt>
                <c:pt idx="22">
                  <c:v>1.46666674E-2</c:v>
                </c:pt>
                <c:pt idx="23">
                  <c:v>1.53333341E-2</c:v>
                </c:pt>
                <c:pt idx="24">
                  <c:v>1.6000000800000001E-2</c:v>
                </c:pt>
                <c:pt idx="25">
                  <c:v>1.6666667499999999E-2</c:v>
                </c:pt>
                <c:pt idx="26">
                  <c:v>1.7333334200000002E-2</c:v>
                </c:pt>
                <c:pt idx="27">
                  <c:v>1.80000009E-2</c:v>
                </c:pt>
                <c:pt idx="28">
                  <c:v>1.8666667599999999E-2</c:v>
                </c:pt>
                <c:pt idx="29">
                  <c:v>1.9333334300000001E-2</c:v>
                </c:pt>
                <c:pt idx="30">
                  <c:v>2.0000001E-2</c:v>
                </c:pt>
                <c:pt idx="31">
                  <c:v>2.0666667699999999E-2</c:v>
                </c:pt>
                <c:pt idx="32">
                  <c:v>2.1333334400000001E-2</c:v>
                </c:pt>
                <c:pt idx="33">
                  <c:v>2.20000011E-2</c:v>
                </c:pt>
                <c:pt idx="34">
                  <c:v>2.2666667800000002E-2</c:v>
                </c:pt>
                <c:pt idx="35">
                  <c:v>2.33333345E-2</c:v>
                </c:pt>
                <c:pt idx="36">
                  <c:v>2.4000001199999999E-2</c:v>
                </c:pt>
                <c:pt idx="37">
                  <c:v>2.4666667900000001E-2</c:v>
                </c:pt>
                <c:pt idx="38">
                  <c:v>2.53333346E-2</c:v>
                </c:pt>
                <c:pt idx="39">
                  <c:v>2.6000001299999999E-2</c:v>
                </c:pt>
                <c:pt idx="40">
                  <c:v>2.6666668000000001E-2</c:v>
                </c:pt>
                <c:pt idx="41">
                  <c:v>2.73333347E-2</c:v>
                </c:pt>
                <c:pt idx="42">
                  <c:v>2.8000001399999998E-2</c:v>
                </c:pt>
                <c:pt idx="43">
                  <c:v>2.8666668100000001E-2</c:v>
                </c:pt>
                <c:pt idx="44">
                  <c:v>2.9333334799999999E-2</c:v>
                </c:pt>
                <c:pt idx="45">
                  <c:v>3.0000001500000002E-2</c:v>
                </c:pt>
                <c:pt idx="46">
                  <c:v>3.06666682E-2</c:v>
                </c:pt>
                <c:pt idx="47">
                  <c:v>3.1333334900000002E-2</c:v>
                </c:pt>
                <c:pt idx="48">
                  <c:v>3.2000001600000001E-2</c:v>
                </c:pt>
                <c:pt idx="49">
                  <c:v>3.26666683E-2</c:v>
                </c:pt>
                <c:pt idx="50">
                  <c:v>3.3333334999999999E-2</c:v>
                </c:pt>
              </c:numCache>
            </c:numRef>
          </c:xVal>
          <c:yVal>
            <c:numRef>
              <c:f>'10 Ohm'!$E$3:$E$53</c:f>
              <c:numCache>
                <c:formatCode>0.0</c:formatCode>
                <c:ptCount val="51"/>
                <c:pt idx="0">
                  <c:v>2.5157884553699999E-6</c:v>
                </c:pt>
                <c:pt idx="1">
                  <c:v>-5.5987052953800003</c:v>
                </c:pt>
                <c:pt idx="2">
                  <c:v>-16.283940078099999</c:v>
                </c:pt>
                <c:pt idx="3">
                  <c:v>-21.6023088934</c:v>
                </c:pt>
                <c:pt idx="4">
                  <c:v>-15.3951773191</c:v>
                </c:pt>
                <c:pt idx="5">
                  <c:v>8.6859442029699991</c:v>
                </c:pt>
                <c:pt idx="6">
                  <c:v>43.161096205900002</c:v>
                </c:pt>
                <c:pt idx="7">
                  <c:v>102.763107318</c:v>
                </c:pt>
                <c:pt idx="8">
                  <c:v>165.17168371099999</c:v>
                </c:pt>
                <c:pt idx="9">
                  <c:v>207.99513803599999</c:v>
                </c:pt>
                <c:pt idx="10">
                  <c:v>227.266628986</c:v>
                </c:pt>
                <c:pt idx="11">
                  <c:v>233.76920165600001</c:v>
                </c:pt>
                <c:pt idx="12">
                  <c:v>231.992557374</c:v>
                </c:pt>
                <c:pt idx="13">
                  <c:v>225.067882502</c:v>
                </c:pt>
                <c:pt idx="14">
                  <c:v>215.74052578300001</c:v>
                </c:pt>
                <c:pt idx="15">
                  <c:v>203.43766150600001</c:v>
                </c:pt>
                <c:pt idx="16">
                  <c:v>188.28039864199999</c:v>
                </c:pt>
                <c:pt idx="17">
                  <c:v>158.06832564199999</c:v>
                </c:pt>
                <c:pt idx="18">
                  <c:v>116.80185867500001</c:v>
                </c:pt>
                <c:pt idx="19">
                  <c:v>72.085225614799995</c:v>
                </c:pt>
                <c:pt idx="20">
                  <c:v>32.183141782100002</c:v>
                </c:pt>
                <c:pt idx="21">
                  <c:v>5.9803781392799999</c:v>
                </c:pt>
                <c:pt idx="22">
                  <c:v>-8.6344278662700003</c:v>
                </c:pt>
                <c:pt idx="23">
                  <c:v>-14.4536030494</c:v>
                </c:pt>
                <c:pt idx="24">
                  <c:v>-13.332403295800001</c:v>
                </c:pt>
                <c:pt idx="25">
                  <c:v>-7.4135206585100004</c:v>
                </c:pt>
                <c:pt idx="26">
                  <c:v>2.3307294648500001</c:v>
                </c:pt>
                <c:pt idx="27">
                  <c:v>12.7748183917</c:v>
                </c:pt>
                <c:pt idx="28">
                  <c:v>17.955812994599999</c:v>
                </c:pt>
                <c:pt idx="29">
                  <c:v>12.7335620529</c:v>
                </c:pt>
                <c:pt idx="30">
                  <c:v>-5.3118043451699997</c:v>
                </c:pt>
                <c:pt idx="31">
                  <c:v>-43.482956627500002</c:v>
                </c:pt>
                <c:pt idx="32">
                  <c:v>-104.080090931</c:v>
                </c:pt>
                <c:pt idx="33">
                  <c:v>-165.51130534999999</c:v>
                </c:pt>
                <c:pt idx="34">
                  <c:v>-207.849965419</c:v>
                </c:pt>
                <c:pt idx="35">
                  <c:v>-226.631041893</c:v>
                </c:pt>
                <c:pt idx="36">
                  <c:v>-232.913987666</c:v>
                </c:pt>
                <c:pt idx="37">
                  <c:v>-231.56235945399999</c:v>
                </c:pt>
                <c:pt idx="38">
                  <c:v>-225.35879723100001</c:v>
                </c:pt>
                <c:pt idx="39">
                  <c:v>-216.19172168200001</c:v>
                </c:pt>
                <c:pt idx="40">
                  <c:v>-204.13631720000001</c:v>
                </c:pt>
                <c:pt idx="41">
                  <c:v>-188.65330091300001</c:v>
                </c:pt>
                <c:pt idx="42">
                  <c:v>-158.46889763300001</c:v>
                </c:pt>
                <c:pt idx="43">
                  <c:v>-115.079752289</c:v>
                </c:pt>
                <c:pt idx="44">
                  <c:v>-70.279603300600002</c:v>
                </c:pt>
                <c:pt idx="45">
                  <c:v>-36.295981214100003</c:v>
                </c:pt>
                <c:pt idx="46">
                  <c:v>-6.4223499258199999</c:v>
                </c:pt>
                <c:pt idx="47">
                  <c:v>10.3933027246</c:v>
                </c:pt>
                <c:pt idx="48">
                  <c:v>17.2130797616</c:v>
                </c:pt>
                <c:pt idx="49">
                  <c:v>16.0903638757</c:v>
                </c:pt>
                <c:pt idx="50">
                  <c:v>31.978156000199998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F3C-4722-9777-884479D250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908591"/>
        <c:axId val="1055658080"/>
      </c:scatterChart>
      <c:valAx>
        <c:axId val="1043908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658080"/>
        <c:crosses val="autoZero"/>
        <c:crossBetween val="midCat"/>
      </c:valAx>
      <c:valAx>
        <c:axId val="105565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Voltage [V]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908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Torque [Nm]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Torque [Nm]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'10 Ohm'!$C$3:$C$53</c:f>
              <c:numCache>
                <c:formatCode>0.00</c:formatCode>
                <c:ptCount val="51"/>
                <c:pt idx="0">
                  <c:v>9</c:v>
                </c:pt>
                <c:pt idx="1">
                  <c:v>8.9103999982079998</c:v>
                </c:pt>
                <c:pt idx="2">
                  <c:v>8.6415999928319991</c:v>
                </c:pt>
                <c:pt idx="3">
                  <c:v>8.1935999838719997</c:v>
                </c:pt>
                <c:pt idx="4">
                  <c:v>7.5663999713300001</c:v>
                </c:pt>
                <c:pt idx="5">
                  <c:v>6.7599999551999996</c:v>
                </c:pt>
                <c:pt idx="6">
                  <c:v>5.77439993549</c:v>
                </c:pt>
                <c:pt idx="7">
                  <c:v>4.6671998854099996</c:v>
                </c:pt>
                <c:pt idx="8">
                  <c:v>3.5791998290900002</c:v>
                </c:pt>
                <c:pt idx="9">
                  <c:v>2.5167997763500001</c:v>
                </c:pt>
                <c:pt idx="10">
                  <c:v>1.4799997272000001</c:v>
                </c:pt>
                <c:pt idx="11">
                  <c:v>0.4687996816299993</c:v>
                </c:pt>
                <c:pt idx="12">
                  <c:v>-0.51680036035000043</c:v>
                </c:pt>
                <c:pt idx="13">
                  <c:v>-1.4768003988</c:v>
                </c:pt>
                <c:pt idx="14">
                  <c:v>-2.4112004335999995</c:v>
                </c:pt>
                <c:pt idx="15">
                  <c:v>-3.3200004647999997</c:v>
                </c:pt>
                <c:pt idx="16">
                  <c:v>-4.2032004924000006</c:v>
                </c:pt>
                <c:pt idx="17">
                  <c:v>-5.0608005165000005</c:v>
                </c:pt>
                <c:pt idx="18">
                  <c:v>-5.8928005369999994</c:v>
                </c:pt>
                <c:pt idx="19">
                  <c:v>-6.6960005327999994</c:v>
                </c:pt>
                <c:pt idx="20">
                  <c:v>-7.400000519999999</c:v>
                </c:pt>
                <c:pt idx="21">
                  <c:v>-7.9760005967999987</c:v>
                </c:pt>
                <c:pt idx="22">
                  <c:v>-8.4240007631999987</c:v>
                </c:pt>
                <c:pt idx="23">
                  <c:v>-8.7440010191999988</c:v>
                </c:pt>
                <c:pt idx="24">
                  <c:v>-8.9360013647999992</c:v>
                </c:pt>
                <c:pt idx="25">
                  <c:v>-9.0000017999999997</c:v>
                </c:pt>
                <c:pt idx="26">
                  <c:v>-8.9104023197000011</c:v>
                </c:pt>
                <c:pt idx="27">
                  <c:v>-8.6416025346999987</c:v>
                </c:pt>
                <c:pt idx="28">
                  <c:v>-8.1936024451000016</c:v>
                </c:pt>
                <c:pt idx="29">
                  <c:v>-7.566402050899999</c:v>
                </c:pt>
                <c:pt idx="30">
                  <c:v>-6.7600013519999997</c:v>
                </c:pt>
                <c:pt idx="31">
                  <c:v>-5.7744003485000004</c:v>
                </c:pt>
                <c:pt idx="32">
                  <c:v>-4.6672001289999994</c:v>
                </c:pt>
                <c:pt idx="33">
                  <c:v>-3.5792002186000005</c:v>
                </c:pt>
                <c:pt idx="34">
                  <c:v>-2.5168002902000008</c:v>
                </c:pt>
                <c:pt idx="35">
                  <c:v>-1.4800003440000005</c:v>
                </c:pt>
                <c:pt idx="36">
                  <c:v>-0.46880037983999934</c:v>
                </c:pt>
                <c:pt idx="37">
                  <c:v>0.51679960224000077</c:v>
                </c:pt>
                <c:pt idx="38">
                  <c:v>1.4767996022399998</c:v>
                </c:pt>
                <c:pt idx="39">
                  <c:v>2.4111996201599997</c:v>
                </c:pt>
                <c:pt idx="40">
                  <c:v>3.3199996560000002</c:v>
                </c:pt>
                <c:pt idx="41">
                  <c:v>4.2031997097599998</c:v>
                </c:pt>
                <c:pt idx="42">
                  <c:v>5.0607997814400001</c:v>
                </c:pt>
                <c:pt idx="43">
                  <c:v>5.8927998710399994</c:v>
                </c:pt>
                <c:pt idx="44">
                  <c:v>6.6960000144</c:v>
                </c:pt>
                <c:pt idx="45">
                  <c:v>7.3999995599999995</c:v>
                </c:pt>
                <c:pt idx="46">
                  <c:v>7.9759979663799996</c:v>
                </c:pt>
                <c:pt idx="47">
                  <c:v>8.4239952335569992</c:v>
                </c:pt>
                <c:pt idx="48">
                  <c:v>8.7439913615229994</c:v>
                </c:pt>
                <c:pt idx="49">
                  <c:v>8.9359863502780996</c:v>
                </c:pt>
                <c:pt idx="50">
                  <c:v>8.99998019975307</c:v>
                </c:pt>
              </c:numCache>
            </c:numRef>
          </c:xVal>
          <c:yVal>
            <c:numRef>
              <c:f>'10 Ohm'!$D$3:$D$53</c:f>
              <c:numCache>
                <c:formatCode>0.0</c:formatCode>
                <c:ptCount val="51"/>
                <c:pt idx="0">
                  <c:v>-512.66490328899999</c:v>
                </c:pt>
                <c:pt idx="1">
                  <c:v>-491.22556834800002</c:v>
                </c:pt>
                <c:pt idx="2">
                  <c:v>-419.863720237</c:v>
                </c:pt>
                <c:pt idx="3">
                  <c:v>-272.84123706000003</c:v>
                </c:pt>
                <c:pt idx="4">
                  <c:v>-15.220382157</c:v>
                </c:pt>
                <c:pt idx="5">
                  <c:v>317.684685516</c:v>
                </c:pt>
                <c:pt idx="6">
                  <c:v>603.84752835799998</c:v>
                </c:pt>
                <c:pt idx="7">
                  <c:v>682.47736127500002</c:v>
                </c:pt>
                <c:pt idx="8">
                  <c:v>577.68284719400003</c:v>
                </c:pt>
                <c:pt idx="9">
                  <c:v>434.97034406199998</c:v>
                </c:pt>
                <c:pt idx="10">
                  <c:v>328.37624225799999</c:v>
                </c:pt>
                <c:pt idx="11">
                  <c:v>244.61418398800001</c:v>
                </c:pt>
                <c:pt idx="12">
                  <c:v>164.60883720000001</c:v>
                </c:pt>
                <c:pt idx="13">
                  <c:v>81.697524525099993</c:v>
                </c:pt>
                <c:pt idx="14">
                  <c:v>-34.513093060599999</c:v>
                </c:pt>
                <c:pt idx="15">
                  <c:v>-194.696864127</c:v>
                </c:pt>
                <c:pt idx="16">
                  <c:v>-392.96585562000001</c:v>
                </c:pt>
                <c:pt idx="17">
                  <c:v>-519.95662074799998</c:v>
                </c:pt>
                <c:pt idx="18">
                  <c:v>-491.17351405199997</c:v>
                </c:pt>
                <c:pt idx="19">
                  <c:v>-299.15689316999999</c:v>
                </c:pt>
                <c:pt idx="20">
                  <c:v>-28.144090612799999</c:v>
                </c:pt>
                <c:pt idx="21">
                  <c:v>214.17352093100001</c:v>
                </c:pt>
                <c:pt idx="22">
                  <c:v>386.111768461</c:v>
                </c:pt>
                <c:pt idx="23">
                  <c:v>486.788068071</c:v>
                </c:pt>
                <c:pt idx="24">
                  <c:v>535.82308732900003</c:v>
                </c:pt>
                <c:pt idx="25">
                  <c:v>548.79205774699994</c:v>
                </c:pt>
                <c:pt idx="26">
                  <c:v>525.34873806999997</c:v>
                </c:pt>
                <c:pt idx="27">
                  <c:v>451.35740602999999</c:v>
                </c:pt>
                <c:pt idx="28">
                  <c:v>298.37630209899999</c:v>
                </c:pt>
                <c:pt idx="29">
                  <c:v>42.2044628162</c:v>
                </c:pt>
                <c:pt idx="30">
                  <c:v>-287.98820409799998</c:v>
                </c:pt>
                <c:pt idx="31">
                  <c:v>-565.521698861</c:v>
                </c:pt>
                <c:pt idx="32">
                  <c:v>-649.25803270400002</c:v>
                </c:pt>
                <c:pt idx="33">
                  <c:v>-547.53584130399997</c:v>
                </c:pt>
                <c:pt idx="34">
                  <c:v>-413.90629661299999</c:v>
                </c:pt>
                <c:pt idx="35">
                  <c:v>-323.70498522899999</c:v>
                </c:pt>
                <c:pt idx="36">
                  <c:v>-255.10413535999999</c:v>
                </c:pt>
                <c:pt idx="37">
                  <c:v>-175.475295174</c:v>
                </c:pt>
                <c:pt idx="38">
                  <c:v>-79.321495111999994</c:v>
                </c:pt>
                <c:pt idx="39">
                  <c:v>49.930880864099997</c:v>
                </c:pt>
                <c:pt idx="40">
                  <c:v>221.92699597000001</c:v>
                </c:pt>
                <c:pt idx="41">
                  <c:v>425.80106839299998</c:v>
                </c:pt>
                <c:pt idx="42">
                  <c:v>554.81049490999999</c:v>
                </c:pt>
                <c:pt idx="43">
                  <c:v>530.06631876200004</c:v>
                </c:pt>
                <c:pt idx="44">
                  <c:v>328.56728218500001</c:v>
                </c:pt>
                <c:pt idx="45">
                  <c:v>57.519309454599998</c:v>
                </c:pt>
                <c:pt idx="46">
                  <c:v>-190.34342215199999</c:v>
                </c:pt>
                <c:pt idx="47">
                  <c:v>-358.34285018999998</c:v>
                </c:pt>
                <c:pt idx="48">
                  <c:v>-455.81823939899999</c:v>
                </c:pt>
                <c:pt idx="49">
                  <c:v>-503.19760364400003</c:v>
                </c:pt>
                <c:pt idx="50">
                  <c:v>-398.21775746899999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334-47FC-9038-6CBBDFD1DE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908591"/>
        <c:axId val="1055658080"/>
      </c:scatterChart>
      <c:valAx>
        <c:axId val="1043908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Angle [Deg]</a:t>
                </a:r>
              </a:p>
            </c:rich>
          </c:tx>
          <c:layout>
            <c:manualLayout>
              <c:xMode val="edge"/>
              <c:yMode val="edge"/>
              <c:x val="0.43784845390105209"/>
              <c:y val="0.872700786151135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658080"/>
        <c:crosses val="autoZero"/>
        <c:crossBetween val="midCat"/>
      </c:valAx>
      <c:valAx>
        <c:axId val="105565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Torque [Nm]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908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[W]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El. Power [W]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'10 Ohm'!$B$3:$B$53</c:f>
              <c:numCache>
                <c:formatCode>General</c:formatCode>
                <c:ptCount val="51"/>
                <c:pt idx="0">
                  <c:v>0</c:v>
                </c:pt>
                <c:pt idx="1">
                  <c:v>6.6666670000000003E-4</c:v>
                </c:pt>
                <c:pt idx="2">
                  <c:v>1.3333334000000001E-3</c:v>
                </c:pt>
                <c:pt idx="3">
                  <c:v>2.0000001000000001E-3</c:v>
                </c:pt>
                <c:pt idx="4">
                  <c:v>2.6666668000000001E-3</c:v>
                </c:pt>
                <c:pt idx="5">
                  <c:v>3.3333335000000001E-3</c:v>
                </c:pt>
                <c:pt idx="6">
                  <c:v>4.0000002000000002E-3</c:v>
                </c:pt>
                <c:pt idx="7">
                  <c:v>4.6666668999999997E-3</c:v>
                </c:pt>
                <c:pt idx="8">
                  <c:v>5.3333336000000002E-3</c:v>
                </c:pt>
                <c:pt idx="9">
                  <c:v>6.0000002999999998E-3</c:v>
                </c:pt>
                <c:pt idx="10">
                  <c:v>6.6666670000000003E-3</c:v>
                </c:pt>
                <c:pt idx="11">
                  <c:v>7.3333336999999998E-3</c:v>
                </c:pt>
                <c:pt idx="12">
                  <c:v>8.0000004000000003E-3</c:v>
                </c:pt>
                <c:pt idx="13">
                  <c:v>8.6666671000000008E-3</c:v>
                </c:pt>
                <c:pt idx="14">
                  <c:v>9.3333337999999995E-3</c:v>
                </c:pt>
                <c:pt idx="15">
                  <c:v>1.00000005E-2</c:v>
                </c:pt>
                <c:pt idx="16">
                  <c:v>1.06666672E-2</c:v>
                </c:pt>
                <c:pt idx="17">
                  <c:v>1.1333333900000001E-2</c:v>
                </c:pt>
                <c:pt idx="18">
                  <c:v>1.20000006E-2</c:v>
                </c:pt>
                <c:pt idx="19">
                  <c:v>1.26666673E-2</c:v>
                </c:pt>
                <c:pt idx="20">
                  <c:v>1.3333334000000001E-2</c:v>
                </c:pt>
                <c:pt idx="21">
                  <c:v>1.4000000699999999E-2</c:v>
                </c:pt>
                <c:pt idx="22">
                  <c:v>1.46666674E-2</c:v>
                </c:pt>
                <c:pt idx="23">
                  <c:v>1.53333341E-2</c:v>
                </c:pt>
                <c:pt idx="24">
                  <c:v>1.6000000800000001E-2</c:v>
                </c:pt>
                <c:pt idx="25">
                  <c:v>1.6666667499999999E-2</c:v>
                </c:pt>
                <c:pt idx="26">
                  <c:v>1.7333334200000002E-2</c:v>
                </c:pt>
                <c:pt idx="27">
                  <c:v>1.80000009E-2</c:v>
                </c:pt>
                <c:pt idx="28">
                  <c:v>1.8666667599999999E-2</c:v>
                </c:pt>
                <c:pt idx="29">
                  <c:v>1.9333334300000001E-2</c:v>
                </c:pt>
                <c:pt idx="30">
                  <c:v>2.0000001E-2</c:v>
                </c:pt>
                <c:pt idx="31">
                  <c:v>2.0666667699999999E-2</c:v>
                </c:pt>
                <c:pt idx="32">
                  <c:v>2.1333334400000001E-2</c:v>
                </c:pt>
                <c:pt idx="33">
                  <c:v>2.20000011E-2</c:v>
                </c:pt>
                <c:pt idx="34">
                  <c:v>2.2666667800000002E-2</c:v>
                </c:pt>
                <c:pt idx="35">
                  <c:v>2.33333345E-2</c:v>
                </c:pt>
                <c:pt idx="36">
                  <c:v>2.4000001199999999E-2</c:v>
                </c:pt>
                <c:pt idx="37">
                  <c:v>2.4666667900000001E-2</c:v>
                </c:pt>
                <c:pt idx="38">
                  <c:v>2.53333346E-2</c:v>
                </c:pt>
                <c:pt idx="39">
                  <c:v>2.6000001299999999E-2</c:v>
                </c:pt>
                <c:pt idx="40">
                  <c:v>2.6666668000000001E-2</c:v>
                </c:pt>
                <c:pt idx="41">
                  <c:v>2.73333347E-2</c:v>
                </c:pt>
                <c:pt idx="42">
                  <c:v>2.8000001399999998E-2</c:v>
                </c:pt>
                <c:pt idx="43">
                  <c:v>2.8666668100000001E-2</c:v>
                </c:pt>
                <c:pt idx="44">
                  <c:v>2.9333334799999999E-2</c:v>
                </c:pt>
                <c:pt idx="45">
                  <c:v>3.0000001500000002E-2</c:v>
                </c:pt>
                <c:pt idx="46">
                  <c:v>3.06666682E-2</c:v>
                </c:pt>
                <c:pt idx="47">
                  <c:v>3.1333334900000002E-2</c:v>
                </c:pt>
                <c:pt idx="48">
                  <c:v>3.2000001600000001E-2</c:v>
                </c:pt>
                <c:pt idx="49">
                  <c:v>3.26666683E-2</c:v>
                </c:pt>
                <c:pt idx="50">
                  <c:v>3.3333334999999999E-2</c:v>
                </c:pt>
              </c:numCache>
            </c:numRef>
          </c:xVal>
          <c:yVal>
            <c:numRef>
              <c:f>'10 Ohm'!$F$3:$F$53</c:f>
              <c:numCache>
                <c:formatCode>0</c:formatCode>
                <c:ptCount val="51"/>
                <c:pt idx="0">
                  <c:v>2.1097305173999999E-13</c:v>
                </c:pt>
                <c:pt idx="1">
                  <c:v>1.0448495633099999</c:v>
                </c:pt>
                <c:pt idx="2">
                  <c:v>12.9227062332</c:v>
                </c:pt>
                <c:pt idx="3">
                  <c:v>36.119905251900001</c:v>
                </c:pt>
                <c:pt idx="4">
                  <c:v>34.541420337600002</c:v>
                </c:pt>
                <c:pt idx="5">
                  <c:v>5.95784867319</c:v>
                </c:pt>
                <c:pt idx="6">
                  <c:v>77.107357525799998</c:v>
                </c:pt>
                <c:pt idx="7">
                  <c:v>561.95016042700001</c:v>
                </c:pt>
                <c:pt idx="8">
                  <c:v>1827.18322616</c:v>
                </c:pt>
                <c:pt idx="9">
                  <c:v>3496.61898999</c:v>
                </c:pt>
                <c:pt idx="10">
                  <c:v>4739.4150654900004</c:v>
                </c:pt>
                <c:pt idx="11">
                  <c:v>5314.2032904999996</c:v>
                </c:pt>
                <c:pt idx="12">
                  <c:v>5423.3767082499999</c:v>
                </c:pt>
                <c:pt idx="13">
                  <c:v>5223.0057351699998</c:v>
                </c:pt>
                <c:pt idx="14">
                  <c:v>4858.5263168900001</c:v>
                </c:pt>
                <c:pt idx="15">
                  <c:v>4394.0201547200004</c:v>
                </c:pt>
                <c:pt idx="16">
                  <c:v>3837.9904879699998</c:v>
                </c:pt>
                <c:pt idx="17">
                  <c:v>3006.5423816100001</c:v>
                </c:pt>
                <c:pt idx="18">
                  <c:v>1903.03146646</c:v>
                </c:pt>
                <c:pt idx="19">
                  <c:v>908.62140922699996</c:v>
                </c:pt>
                <c:pt idx="20">
                  <c:v>285.06544677599999</c:v>
                </c:pt>
                <c:pt idx="21">
                  <c:v>42.1328965075</c:v>
                </c:pt>
                <c:pt idx="22">
                  <c:v>1.95603745367</c:v>
                </c:pt>
                <c:pt idx="23">
                  <c:v>13.6086192876</c:v>
                </c:pt>
                <c:pt idx="24">
                  <c:v>19.312029456200001</c:v>
                </c:pt>
                <c:pt idx="25">
                  <c:v>11.0517771152</c:v>
                </c:pt>
                <c:pt idx="26">
                  <c:v>1.4371225785099999</c:v>
                </c:pt>
                <c:pt idx="27">
                  <c:v>6.6134310137499996</c:v>
                </c:pt>
                <c:pt idx="28">
                  <c:v>23.832981843900001</c:v>
                </c:pt>
                <c:pt idx="29">
                  <c:v>23.7732093943</c:v>
                </c:pt>
                <c:pt idx="30">
                  <c:v>4.0906892571800002</c:v>
                </c:pt>
                <c:pt idx="31">
                  <c:v>71.665191347499999</c:v>
                </c:pt>
                <c:pt idx="32">
                  <c:v>574.97143083599997</c:v>
                </c:pt>
                <c:pt idx="33">
                  <c:v>1848.43630792</c:v>
                </c:pt>
                <c:pt idx="34">
                  <c:v>3499.9039805500001</c:v>
                </c:pt>
                <c:pt idx="35">
                  <c:v>4722.2830498100002</c:v>
                </c:pt>
                <c:pt idx="36">
                  <c:v>5279.8698165300002</c:v>
                </c:pt>
                <c:pt idx="37">
                  <c:v>5393.4721499999996</c:v>
                </c:pt>
                <c:pt idx="38">
                  <c:v>5219.7442871900003</c:v>
                </c:pt>
                <c:pt idx="39">
                  <c:v>4874.8718127499997</c:v>
                </c:pt>
                <c:pt idx="40">
                  <c:v>4418.1026132300003</c:v>
                </c:pt>
                <c:pt idx="41">
                  <c:v>3859.0898007000001</c:v>
                </c:pt>
                <c:pt idx="42">
                  <c:v>3019.9380031000001</c:v>
                </c:pt>
                <c:pt idx="43">
                  <c:v>1886.4100796299999</c:v>
                </c:pt>
                <c:pt idx="44">
                  <c:v>875.67771218899998</c:v>
                </c:pt>
                <c:pt idx="45">
                  <c:v>293.58293511699998</c:v>
                </c:pt>
                <c:pt idx="46">
                  <c:v>53.058344104200003</c:v>
                </c:pt>
                <c:pt idx="47">
                  <c:v>2.7505964371</c:v>
                </c:pt>
                <c:pt idx="48">
                  <c:v>19.4403868397</c:v>
                </c:pt>
                <c:pt idx="49">
                  <c:v>27.738488043899999</c:v>
                </c:pt>
                <c:pt idx="50">
                  <c:v>59.8680812315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858-4950-A501-DAB5A5F6B5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908591"/>
        <c:axId val="1055658080"/>
      </c:scatterChart>
      <c:valAx>
        <c:axId val="1043908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658080"/>
        <c:crosses val="autoZero"/>
        <c:crossBetween val="midCat"/>
      </c:valAx>
      <c:valAx>
        <c:axId val="105565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Voltage [V]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908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Torque [Nm]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Torque [Nm]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'5 Ohm'!$B$3:$B$53</c:f>
              <c:numCache>
                <c:formatCode>General</c:formatCode>
                <c:ptCount val="51"/>
                <c:pt idx="0">
                  <c:v>0</c:v>
                </c:pt>
                <c:pt idx="1">
                  <c:v>6.6666670000000003E-4</c:v>
                </c:pt>
                <c:pt idx="2">
                  <c:v>1.3333334000000001E-3</c:v>
                </c:pt>
                <c:pt idx="3">
                  <c:v>2.0000001000000001E-3</c:v>
                </c:pt>
                <c:pt idx="4">
                  <c:v>2.6666668000000001E-3</c:v>
                </c:pt>
                <c:pt idx="5">
                  <c:v>3.3333335000000001E-3</c:v>
                </c:pt>
                <c:pt idx="6">
                  <c:v>4.0000002000000002E-3</c:v>
                </c:pt>
                <c:pt idx="7">
                  <c:v>4.6666668999999997E-3</c:v>
                </c:pt>
                <c:pt idx="8">
                  <c:v>5.3333336000000002E-3</c:v>
                </c:pt>
                <c:pt idx="9">
                  <c:v>6.0000002999999998E-3</c:v>
                </c:pt>
                <c:pt idx="10">
                  <c:v>6.6666670000000003E-3</c:v>
                </c:pt>
                <c:pt idx="11">
                  <c:v>7.3333336999999998E-3</c:v>
                </c:pt>
                <c:pt idx="12">
                  <c:v>8.0000004000000003E-3</c:v>
                </c:pt>
                <c:pt idx="13">
                  <c:v>8.6666671000000008E-3</c:v>
                </c:pt>
                <c:pt idx="14">
                  <c:v>9.3333337999999995E-3</c:v>
                </c:pt>
                <c:pt idx="15">
                  <c:v>1.00000005E-2</c:v>
                </c:pt>
                <c:pt idx="16">
                  <c:v>1.06666672E-2</c:v>
                </c:pt>
                <c:pt idx="17">
                  <c:v>1.1333333900000001E-2</c:v>
                </c:pt>
                <c:pt idx="18">
                  <c:v>1.20000006E-2</c:v>
                </c:pt>
                <c:pt idx="19">
                  <c:v>1.26666673E-2</c:v>
                </c:pt>
                <c:pt idx="20">
                  <c:v>1.3333334000000001E-2</c:v>
                </c:pt>
                <c:pt idx="21">
                  <c:v>1.4000000699999999E-2</c:v>
                </c:pt>
                <c:pt idx="22">
                  <c:v>1.46666674E-2</c:v>
                </c:pt>
                <c:pt idx="23">
                  <c:v>1.53333341E-2</c:v>
                </c:pt>
                <c:pt idx="24">
                  <c:v>1.6000000800000001E-2</c:v>
                </c:pt>
                <c:pt idx="25">
                  <c:v>1.6666667499999999E-2</c:v>
                </c:pt>
                <c:pt idx="26">
                  <c:v>1.7333334200000002E-2</c:v>
                </c:pt>
                <c:pt idx="27">
                  <c:v>1.80000009E-2</c:v>
                </c:pt>
                <c:pt idx="28">
                  <c:v>1.8666667599999999E-2</c:v>
                </c:pt>
                <c:pt idx="29">
                  <c:v>1.9333334300000001E-2</c:v>
                </c:pt>
                <c:pt idx="30">
                  <c:v>2.0000001E-2</c:v>
                </c:pt>
                <c:pt idx="31">
                  <c:v>2.0666667699999999E-2</c:v>
                </c:pt>
                <c:pt idx="32">
                  <c:v>2.1333334400000001E-2</c:v>
                </c:pt>
                <c:pt idx="33">
                  <c:v>2.20000011E-2</c:v>
                </c:pt>
                <c:pt idx="34">
                  <c:v>2.2666667800000002E-2</c:v>
                </c:pt>
                <c:pt idx="35">
                  <c:v>2.33333345E-2</c:v>
                </c:pt>
                <c:pt idx="36">
                  <c:v>2.4000001199999999E-2</c:v>
                </c:pt>
                <c:pt idx="37">
                  <c:v>2.4666667900000001E-2</c:v>
                </c:pt>
                <c:pt idx="38">
                  <c:v>2.53333346E-2</c:v>
                </c:pt>
                <c:pt idx="39">
                  <c:v>2.6000001299999999E-2</c:v>
                </c:pt>
                <c:pt idx="40">
                  <c:v>2.6666668000000001E-2</c:v>
                </c:pt>
                <c:pt idx="41">
                  <c:v>2.73333347E-2</c:v>
                </c:pt>
                <c:pt idx="42">
                  <c:v>2.8000001399999998E-2</c:v>
                </c:pt>
                <c:pt idx="43">
                  <c:v>2.8666668100000001E-2</c:v>
                </c:pt>
                <c:pt idx="44">
                  <c:v>2.9333334799999999E-2</c:v>
                </c:pt>
                <c:pt idx="45">
                  <c:v>3.0000001500000002E-2</c:v>
                </c:pt>
                <c:pt idx="46">
                  <c:v>3.06666682E-2</c:v>
                </c:pt>
                <c:pt idx="47">
                  <c:v>3.1333334900000002E-2</c:v>
                </c:pt>
                <c:pt idx="48">
                  <c:v>3.2000001600000001E-2</c:v>
                </c:pt>
                <c:pt idx="49">
                  <c:v>3.26666683E-2</c:v>
                </c:pt>
                <c:pt idx="50">
                  <c:v>3.3333334999999999E-2</c:v>
                </c:pt>
              </c:numCache>
            </c:numRef>
          </c:xVal>
          <c:yVal>
            <c:numRef>
              <c:f>'5 Ohm'!$D$3:$D$53</c:f>
              <c:numCache>
                <c:formatCode>0.0</c:formatCode>
                <c:ptCount val="51"/>
                <c:pt idx="0">
                  <c:v>-512.66485724500001</c:v>
                </c:pt>
                <c:pt idx="1">
                  <c:v>-490.42121504300002</c:v>
                </c:pt>
                <c:pt idx="2">
                  <c:v>-417.66430965900003</c:v>
                </c:pt>
                <c:pt idx="3">
                  <c:v>-270.74982181399997</c:v>
                </c:pt>
                <c:pt idx="4">
                  <c:v>-15.063854172199999</c:v>
                </c:pt>
                <c:pt idx="5">
                  <c:v>317.40761100999998</c:v>
                </c:pt>
                <c:pt idx="6">
                  <c:v>610.95747273200004</c:v>
                </c:pt>
                <c:pt idx="7">
                  <c:v>717.06823616500003</c:v>
                </c:pt>
                <c:pt idx="8">
                  <c:v>661.54599089999999</c:v>
                </c:pt>
                <c:pt idx="9">
                  <c:v>566.29366061200005</c:v>
                </c:pt>
                <c:pt idx="10">
                  <c:v>495.39292226999999</c:v>
                </c:pt>
                <c:pt idx="11">
                  <c:v>432.08078000699999</c:v>
                </c:pt>
                <c:pt idx="12">
                  <c:v>358.27295049200001</c:v>
                </c:pt>
                <c:pt idx="13">
                  <c:v>270.37422226299998</c:v>
                </c:pt>
                <c:pt idx="14">
                  <c:v>143.13302324899999</c:v>
                </c:pt>
                <c:pt idx="15">
                  <c:v>-31.445583565900002</c:v>
                </c:pt>
                <c:pt idx="16">
                  <c:v>-252.799747672</c:v>
                </c:pt>
                <c:pt idx="17">
                  <c:v>-420.71086367100003</c:v>
                </c:pt>
                <c:pt idx="18">
                  <c:v>-437.233649937</c:v>
                </c:pt>
                <c:pt idx="19">
                  <c:v>-280.06208153799997</c:v>
                </c:pt>
                <c:pt idx="20">
                  <c:v>-26.907012787700001</c:v>
                </c:pt>
                <c:pt idx="21">
                  <c:v>211.12372774400001</c:v>
                </c:pt>
                <c:pt idx="22">
                  <c:v>384.24985022200002</c:v>
                </c:pt>
                <c:pt idx="23">
                  <c:v>487.43385124100001</c:v>
                </c:pt>
                <c:pt idx="24">
                  <c:v>538.07894044900002</c:v>
                </c:pt>
                <c:pt idx="25">
                  <c:v>551.01013584700002</c:v>
                </c:pt>
                <c:pt idx="26">
                  <c:v>525.993000897</c:v>
                </c:pt>
                <c:pt idx="27">
                  <c:v>450.12747747999998</c:v>
                </c:pt>
                <c:pt idx="28">
                  <c:v>296.81165013899999</c:v>
                </c:pt>
                <c:pt idx="29">
                  <c:v>42.056101019899998</c:v>
                </c:pt>
                <c:pt idx="30">
                  <c:v>-287.64757915299998</c:v>
                </c:pt>
                <c:pt idx="31">
                  <c:v>-572.67070484099997</c:v>
                </c:pt>
                <c:pt idx="32">
                  <c:v>-684.41004360500006</c:v>
                </c:pt>
                <c:pt idx="33">
                  <c:v>-631.46025714100006</c:v>
                </c:pt>
                <c:pt idx="34">
                  <c:v>-545.247739604</c:v>
                </c:pt>
                <c:pt idx="35">
                  <c:v>-489.68655582000002</c:v>
                </c:pt>
                <c:pt idx="36">
                  <c:v>-441.624757488</c:v>
                </c:pt>
                <c:pt idx="37">
                  <c:v>-368.74562420199999</c:v>
                </c:pt>
                <c:pt idx="38">
                  <c:v>-268.30241781199999</c:v>
                </c:pt>
                <c:pt idx="39">
                  <c:v>-129.15989318300001</c:v>
                </c:pt>
                <c:pt idx="40">
                  <c:v>57.772308793900002</c:v>
                </c:pt>
                <c:pt idx="41">
                  <c:v>284.91110541799998</c:v>
                </c:pt>
                <c:pt idx="42">
                  <c:v>455.605227109</c:v>
                </c:pt>
                <c:pt idx="43">
                  <c:v>476.82060198200003</c:v>
                </c:pt>
                <c:pt idx="44">
                  <c:v>309.87536620399999</c:v>
                </c:pt>
                <c:pt idx="45">
                  <c:v>56.155219302399999</c:v>
                </c:pt>
                <c:pt idx="46">
                  <c:v>-187.236483292</c:v>
                </c:pt>
                <c:pt idx="47">
                  <c:v>-356.56894874800003</c:v>
                </c:pt>
                <c:pt idx="48">
                  <c:v>-456.87009926399998</c:v>
                </c:pt>
                <c:pt idx="49">
                  <c:v>-506.08162132199999</c:v>
                </c:pt>
                <c:pt idx="50">
                  <c:v>-384.77317450499999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693-4E75-BC7D-57D8E807F1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908591"/>
        <c:axId val="1055658080"/>
      </c:scatterChart>
      <c:valAx>
        <c:axId val="1043908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[s]</a:t>
                </a:r>
              </a:p>
            </c:rich>
          </c:tx>
          <c:layout>
            <c:manualLayout>
              <c:xMode val="edge"/>
              <c:yMode val="edge"/>
              <c:x val="0.48709277802285461"/>
              <c:y val="0.866348554929919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658080"/>
        <c:crosses val="autoZero"/>
        <c:crossBetween val="midCat"/>
      </c:valAx>
      <c:valAx>
        <c:axId val="105565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Torque [Nm]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908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Voltage [V]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Voltage [V]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'5 Ohm'!$B$3:$B$53</c:f>
              <c:numCache>
                <c:formatCode>General</c:formatCode>
                <c:ptCount val="51"/>
                <c:pt idx="0">
                  <c:v>0</c:v>
                </c:pt>
                <c:pt idx="1">
                  <c:v>6.6666670000000003E-4</c:v>
                </c:pt>
                <c:pt idx="2">
                  <c:v>1.3333334000000001E-3</c:v>
                </c:pt>
                <c:pt idx="3">
                  <c:v>2.0000001000000001E-3</c:v>
                </c:pt>
                <c:pt idx="4">
                  <c:v>2.6666668000000001E-3</c:v>
                </c:pt>
                <c:pt idx="5">
                  <c:v>3.3333335000000001E-3</c:v>
                </c:pt>
                <c:pt idx="6">
                  <c:v>4.0000002000000002E-3</c:v>
                </c:pt>
                <c:pt idx="7">
                  <c:v>4.6666668999999997E-3</c:v>
                </c:pt>
                <c:pt idx="8">
                  <c:v>5.3333336000000002E-3</c:v>
                </c:pt>
                <c:pt idx="9">
                  <c:v>6.0000002999999998E-3</c:v>
                </c:pt>
                <c:pt idx="10">
                  <c:v>6.6666670000000003E-3</c:v>
                </c:pt>
                <c:pt idx="11">
                  <c:v>7.3333336999999998E-3</c:v>
                </c:pt>
                <c:pt idx="12">
                  <c:v>8.0000004000000003E-3</c:v>
                </c:pt>
                <c:pt idx="13">
                  <c:v>8.6666671000000008E-3</c:v>
                </c:pt>
                <c:pt idx="14">
                  <c:v>9.3333337999999995E-3</c:v>
                </c:pt>
                <c:pt idx="15">
                  <c:v>1.00000005E-2</c:v>
                </c:pt>
                <c:pt idx="16">
                  <c:v>1.06666672E-2</c:v>
                </c:pt>
                <c:pt idx="17">
                  <c:v>1.1333333900000001E-2</c:v>
                </c:pt>
                <c:pt idx="18">
                  <c:v>1.20000006E-2</c:v>
                </c:pt>
                <c:pt idx="19">
                  <c:v>1.26666673E-2</c:v>
                </c:pt>
                <c:pt idx="20">
                  <c:v>1.3333334000000001E-2</c:v>
                </c:pt>
                <c:pt idx="21">
                  <c:v>1.4000000699999999E-2</c:v>
                </c:pt>
                <c:pt idx="22">
                  <c:v>1.46666674E-2</c:v>
                </c:pt>
                <c:pt idx="23">
                  <c:v>1.53333341E-2</c:v>
                </c:pt>
                <c:pt idx="24">
                  <c:v>1.6000000800000001E-2</c:v>
                </c:pt>
                <c:pt idx="25">
                  <c:v>1.6666667499999999E-2</c:v>
                </c:pt>
                <c:pt idx="26">
                  <c:v>1.7333334200000002E-2</c:v>
                </c:pt>
                <c:pt idx="27">
                  <c:v>1.80000009E-2</c:v>
                </c:pt>
                <c:pt idx="28">
                  <c:v>1.8666667599999999E-2</c:v>
                </c:pt>
                <c:pt idx="29">
                  <c:v>1.9333334300000001E-2</c:v>
                </c:pt>
                <c:pt idx="30">
                  <c:v>2.0000001E-2</c:v>
                </c:pt>
                <c:pt idx="31">
                  <c:v>2.0666667699999999E-2</c:v>
                </c:pt>
                <c:pt idx="32">
                  <c:v>2.1333334400000001E-2</c:v>
                </c:pt>
                <c:pt idx="33">
                  <c:v>2.20000011E-2</c:v>
                </c:pt>
                <c:pt idx="34">
                  <c:v>2.2666667800000002E-2</c:v>
                </c:pt>
                <c:pt idx="35">
                  <c:v>2.33333345E-2</c:v>
                </c:pt>
                <c:pt idx="36">
                  <c:v>2.4000001199999999E-2</c:v>
                </c:pt>
                <c:pt idx="37">
                  <c:v>2.4666667900000001E-2</c:v>
                </c:pt>
                <c:pt idx="38">
                  <c:v>2.53333346E-2</c:v>
                </c:pt>
                <c:pt idx="39">
                  <c:v>2.6000001299999999E-2</c:v>
                </c:pt>
                <c:pt idx="40">
                  <c:v>2.6666668000000001E-2</c:v>
                </c:pt>
                <c:pt idx="41">
                  <c:v>2.73333347E-2</c:v>
                </c:pt>
                <c:pt idx="42">
                  <c:v>2.8000001399999998E-2</c:v>
                </c:pt>
                <c:pt idx="43">
                  <c:v>2.8666668100000001E-2</c:v>
                </c:pt>
                <c:pt idx="44">
                  <c:v>2.9333334799999999E-2</c:v>
                </c:pt>
                <c:pt idx="45">
                  <c:v>3.0000001500000002E-2</c:v>
                </c:pt>
                <c:pt idx="46">
                  <c:v>3.06666682E-2</c:v>
                </c:pt>
                <c:pt idx="47">
                  <c:v>3.1333334900000002E-2</c:v>
                </c:pt>
                <c:pt idx="48">
                  <c:v>3.2000001600000001E-2</c:v>
                </c:pt>
                <c:pt idx="49">
                  <c:v>3.26666683E-2</c:v>
                </c:pt>
                <c:pt idx="50">
                  <c:v>3.3333334999999999E-2</c:v>
                </c:pt>
              </c:numCache>
            </c:numRef>
          </c:xVal>
          <c:yVal>
            <c:numRef>
              <c:f>'5 Ohm'!$E$3:$E$53</c:f>
              <c:numCache>
                <c:formatCode>0.0</c:formatCode>
                <c:ptCount val="51"/>
                <c:pt idx="0">
                  <c:v>-1.0354927026299999E-7</c:v>
                </c:pt>
                <c:pt idx="1">
                  <c:v>-4.2283543080900001</c:v>
                </c:pt>
                <c:pt idx="2">
                  <c:v>-13.028870635000001</c:v>
                </c:pt>
                <c:pt idx="3">
                  <c:v>-18.8019270946</c:v>
                </c:pt>
                <c:pt idx="4">
                  <c:v>-15.5320432758</c:v>
                </c:pt>
                <c:pt idx="5">
                  <c:v>3.3189361778699999</c:v>
                </c:pt>
                <c:pt idx="6">
                  <c:v>32.0999821423</c:v>
                </c:pt>
                <c:pt idx="7">
                  <c:v>80.888057592600006</c:v>
                </c:pt>
                <c:pt idx="8">
                  <c:v>135.23246316300001</c:v>
                </c:pt>
                <c:pt idx="9">
                  <c:v>179.34517043</c:v>
                </c:pt>
                <c:pt idx="10">
                  <c:v>205.493036684</c:v>
                </c:pt>
                <c:pt idx="11">
                  <c:v>219.01595460799999</c:v>
                </c:pt>
                <c:pt idx="12">
                  <c:v>222.727862757</c:v>
                </c:pt>
                <c:pt idx="13">
                  <c:v>219.33959660599999</c:v>
                </c:pt>
                <c:pt idx="14">
                  <c:v>211.82393078000001</c:v>
                </c:pt>
                <c:pt idx="15">
                  <c:v>201.27212131499999</c:v>
                </c:pt>
                <c:pt idx="16">
                  <c:v>189.34988444199999</c:v>
                </c:pt>
                <c:pt idx="17">
                  <c:v>166.824380722</c:v>
                </c:pt>
                <c:pt idx="18">
                  <c:v>133.51389819900001</c:v>
                </c:pt>
                <c:pt idx="19">
                  <c:v>92.776678947999997</c:v>
                </c:pt>
                <c:pt idx="20">
                  <c:v>51.8184944116</c:v>
                </c:pt>
                <c:pt idx="21">
                  <c:v>20.511177252300001</c:v>
                </c:pt>
                <c:pt idx="22">
                  <c:v>1.06899878239</c:v>
                </c:pt>
                <c:pt idx="23">
                  <c:v>-8.5873153867400003</c:v>
                </c:pt>
                <c:pt idx="24">
                  <c:v>-10.7147210943</c:v>
                </c:pt>
                <c:pt idx="25">
                  <c:v>-7.4598290152600004</c:v>
                </c:pt>
                <c:pt idx="26">
                  <c:v>1.6493014984899999E-2</c:v>
                </c:pt>
                <c:pt idx="27">
                  <c:v>9.1563937184400004</c:v>
                </c:pt>
                <c:pt idx="28">
                  <c:v>15.017772407700001</c:v>
                </c:pt>
                <c:pt idx="29">
                  <c:v>12.5504491919</c:v>
                </c:pt>
                <c:pt idx="30">
                  <c:v>-1.41242362327</c:v>
                </c:pt>
                <c:pt idx="31">
                  <c:v>-32.271253038499999</c:v>
                </c:pt>
                <c:pt idx="32">
                  <c:v>-81.835864680599997</c:v>
                </c:pt>
                <c:pt idx="33">
                  <c:v>-135.68932487999999</c:v>
                </c:pt>
                <c:pt idx="34">
                  <c:v>-179.34803431700001</c:v>
                </c:pt>
                <c:pt idx="35">
                  <c:v>-205.15910093400001</c:v>
                </c:pt>
                <c:pt idx="36">
                  <c:v>-218.22929382800001</c:v>
                </c:pt>
                <c:pt idx="37">
                  <c:v>-222.15857021299999</c:v>
                </c:pt>
                <c:pt idx="38">
                  <c:v>-219.27674917300001</c:v>
                </c:pt>
                <c:pt idx="39">
                  <c:v>-211.90539861799999</c:v>
                </c:pt>
                <c:pt idx="40">
                  <c:v>-201.90283232600001</c:v>
                </c:pt>
                <c:pt idx="41">
                  <c:v>-189.77968392700001</c:v>
                </c:pt>
                <c:pt idx="42">
                  <c:v>-167.39097904900001</c:v>
                </c:pt>
                <c:pt idx="43">
                  <c:v>-132.29901555199999</c:v>
                </c:pt>
                <c:pt idx="44">
                  <c:v>-91.075336318400005</c:v>
                </c:pt>
                <c:pt idx="45">
                  <c:v>-54.985092066500002</c:v>
                </c:pt>
                <c:pt idx="46">
                  <c:v>-21.291958337299999</c:v>
                </c:pt>
                <c:pt idx="47">
                  <c:v>8.6757254342699999E-2</c:v>
                </c:pt>
                <c:pt idx="48">
                  <c:v>10.8034642779</c:v>
                </c:pt>
                <c:pt idx="49">
                  <c:v>13.159566823</c:v>
                </c:pt>
                <c:pt idx="50">
                  <c:v>27.810711712900002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83B-4808-A2AF-9F9979D27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908591"/>
        <c:axId val="1055658080"/>
      </c:scatterChart>
      <c:valAx>
        <c:axId val="1043908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658080"/>
        <c:crosses val="autoZero"/>
        <c:crossBetween val="midCat"/>
      </c:valAx>
      <c:valAx>
        <c:axId val="105565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Voltage [V]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908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Torque [Nm]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Torque [Nm]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'5 Ohm'!$C$3:$C$53</c:f>
              <c:numCache>
                <c:formatCode>0.00</c:formatCode>
                <c:ptCount val="51"/>
                <c:pt idx="0">
                  <c:v>9</c:v>
                </c:pt>
                <c:pt idx="1">
                  <c:v>8.9103999982079998</c:v>
                </c:pt>
                <c:pt idx="2">
                  <c:v>8.6415999928319991</c:v>
                </c:pt>
                <c:pt idx="3">
                  <c:v>8.1935999838719997</c:v>
                </c:pt>
                <c:pt idx="4">
                  <c:v>7.5663999713300001</c:v>
                </c:pt>
                <c:pt idx="5">
                  <c:v>6.7599999551999996</c:v>
                </c:pt>
                <c:pt idx="6">
                  <c:v>5.77439993549</c:v>
                </c:pt>
                <c:pt idx="7">
                  <c:v>4.6671998854099996</c:v>
                </c:pt>
                <c:pt idx="8">
                  <c:v>3.5791998290900002</c:v>
                </c:pt>
                <c:pt idx="9">
                  <c:v>2.5167997763500001</c:v>
                </c:pt>
                <c:pt idx="10">
                  <c:v>1.4799997272000001</c:v>
                </c:pt>
                <c:pt idx="11">
                  <c:v>0.4687996816299993</c:v>
                </c:pt>
                <c:pt idx="12">
                  <c:v>-0.51680036035000043</c:v>
                </c:pt>
                <c:pt idx="13">
                  <c:v>-1.4768003988</c:v>
                </c:pt>
                <c:pt idx="14">
                  <c:v>-2.4112004335999995</c:v>
                </c:pt>
                <c:pt idx="15">
                  <c:v>-3.3200004647999997</c:v>
                </c:pt>
                <c:pt idx="16">
                  <c:v>-4.2032004924000006</c:v>
                </c:pt>
                <c:pt idx="17">
                  <c:v>-5.0608005165000005</c:v>
                </c:pt>
                <c:pt idx="18">
                  <c:v>-5.8928005369999994</c:v>
                </c:pt>
                <c:pt idx="19">
                  <c:v>-6.6960005327999994</c:v>
                </c:pt>
                <c:pt idx="20">
                  <c:v>-7.400000519999999</c:v>
                </c:pt>
                <c:pt idx="21">
                  <c:v>-7.9760005967999987</c:v>
                </c:pt>
                <c:pt idx="22">
                  <c:v>-8.4240007631999987</c:v>
                </c:pt>
                <c:pt idx="23">
                  <c:v>-8.7440010191999988</c:v>
                </c:pt>
                <c:pt idx="24">
                  <c:v>-8.9360013647999992</c:v>
                </c:pt>
                <c:pt idx="25">
                  <c:v>-9.0000017999999997</c:v>
                </c:pt>
                <c:pt idx="26">
                  <c:v>-8.9104023197000011</c:v>
                </c:pt>
                <c:pt idx="27">
                  <c:v>-8.6416025346999987</c:v>
                </c:pt>
                <c:pt idx="28">
                  <c:v>-8.1936024451000016</c:v>
                </c:pt>
                <c:pt idx="29">
                  <c:v>-7.566402050899999</c:v>
                </c:pt>
                <c:pt idx="30">
                  <c:v>-6.7600013519999997</c:v>
                </c:pt>
                <c:pt idx="31">
                  <c:v>-5.7744003485000004</c:v>
                </c:pt>
                <c:pt idx="32">
                  <c:v>-4.6672001289999994</c:v>
                </c:pt>
                <c:pt idx="33">
                  <c:v>-3.5792002186000005</c:v>
                </c:pt>
                <c:pt idx="34">
                  <c:v>-2.5168002902000008</c:v>
                </c:pt>
                <c:pt idx="35">
                  <c:v>-1.4800003440000005</c:v>
                </c:pt>
                <c:pt idx="36">
                  <c:v>-0.46880037983999934</c:v>
                </c:pt>
                <c:pt idx="37">
                  <c:v>0.51679960224000077</c:v>
                </c:pt>
                <c:pt idx="38">
                  <c:v>1.4767996022399998</c:v>
                </c:pt>
                <c:pt idx="39">
                  <c:v>2.4111996201599997</c:v>
                </c:pt>
                <c:pt idx="40">
                  <c:v>3.3199996560000002</c:v>
                </c:pt>
                <c:pt idx="41">
                  <c:v>4.2031997097599998</c:v>
                </c:pt>
                <c:pt idx="42">
                  <c:v>5.0607997814400001</c:v>
                </c:pt>
                <c:pt idx="43">
                  <c:v>5.8927998710399994</c:v>
                </c:pt>
                <c:pt idx="44">
                  <c:v>6.6960000144</c:v>
                </c:pt>
                <c:pt idx="45">
                  <c:v>7.3999995599999995</c:v>
                </c:pt>
                <c:pt idx="46">
                  <c:v>7.9759979663799996</c:v>
                </c:pt>
                <c:pt idx="47">
                  <c:v>8.4239952335569992</c:v>
                </c:pt>
                <c:pt idx="48">
                  <c:v>8.7439913615229994</c:v>
                </c:pt>
                <c:pt idx="49">
                  <c:v>8.9359863502780996</c:v>
                </c:pt>
                <c:pt idx="50">
                  <c:v>8.99998019975307</c:v>
                </c:pt>
              </c:numCache>
            </c:numRef>
          </c:xVal>
          <c:yVal>
            <c:numRef>
              <c:f>'5 Ohm'!$D$3:$D$53</c:f>
              <c:numCache>
                <c:formatCode>0.0</c:formatCode>
                <c:ptCount val="51"/>
                <c:pt idx="0">
                  <c:v>-512.66485724500001</c:v>
                </c:pt>
                <c:pt idx="1">
                  <c:v>-490.42121504300002</c:v>
                </c:pt>
                <c:pt idx="2">
                  <c:v>-417.66430965900003</c:v>
                </c:pt>
                <c:pt idx="3">
                  <c:v>-270.74982181399997</c:v>
                </c:pt>
                <c:pt idx="4">
                  <c:v>-15.063854172199999</c:v>
                </c:pt>
                <c:pt idx="5">
                  <c:v>317.40761100999998</c:v>
                </c:pt>
                <c:pt idx="6">
                  <c:v>610.95747273200004</c:v>
                </c:pt>
                <c:pt idx="7">
                  <c:v>717.06823616500003</c:v>
                </c:pt>
                <c:pt idx="8">
                  <c:v>661.54599089999999</c:v>
                </c:pt>
                <c:pt idx="9">
                  <c:v>566.29366061200005</c:v>
                </c:pt>
                <c:pt idx="10">
                  <c:v>495.39292226999999</c:v>
                </c:pt>
                <c:pt idx="11">
                  <c:v>432.08078000699999</c:v>
                </c:pt>
                <c:pt idx="12">
                  <c:v>358.27295049200001</c:v>
                </c:pt>
                <c:pt idx="13">
                  <c:v>270.37422226299998</c:v>
                </c:pt>
                <c:pt idx="14">
                  <c:v>143.13302324899999</c:v>
                </c:pt>
                <c:pt idx="15">
                  <c:v>-31.445583565900002</c:v>
                </c:pt>
                <c:pt idx="16">
                  <c:v>-252.799747672</c:v>
                </c:pt>
                <c:pt idx="17">
                  <c:v>-420.71086367100003</c:v>
                </c:pt>
                <c:pt idx="18">
                  <c:v>-437.233649937</c:v>
                </c:pt>
                <c:pt idx="19">
                  <c:v>-280.06208153799997</c:v>
                </c:pt>
                <c:pt idx="20">
                  <c:v>-26.907012787700001</c:v>
                </c:pt>
                <c:pt idx="21">
                  <c:v>211.12372774400001</c:v>
                </c:pt>
                <c:pt idx="22">
                  <c:v>384.24985022200002</c:v>
                </c:pt>
                <c:pt idx="23">
                  <c:v>487.43385124100001</c:v>
                </c:pt>
                <c:pt idx="24">
                  <c:v>538.07894044900002</c:v>
                </c:pt>
                <c:pt idx="25">
                  <c:v>551.01013584700002</c:v>
                </c:pt>
                <c:pt idx="26">
                  <c:v>525.993000897</c:v>
                </c:pt>
                <c:pt idx="27">
                  <c:v>450.12747747999998</c:v>
                </c:pt>
                <c:pt idx="28">
                  <c:v>296.81165013899999</c:v>
                </c:pt>
                <c:pt idx="29">
                  <c:v>42.056101019899998</c:v>
                </c:pt>
                <c:pt idx="30">
                  <c:v>-287.64757915299998</c:v>
                </c:pt>
                <c:pt idx="31">
                  <c:v>-572.67070484099997</c:v>
                </c:pt>
                <c:pt idx="32">
                  <c:v>-684.41004360500006</c:v>
                </c:pt>
                <c:pt idx="33">
                  <c:v>-631.46025714100006</c:v>
                </c:pt>
                <c:pt idx="34">
                  <c:v>-545.247739604</c:v>
                </c:pt>
                <c:pt idx="35">
                  <c:v>-489.68655582000002</c:v>
                </c:pt>
                <c:pt idx="36">
                  <c:v>-441.624757488</c:v>
                </c:pt>
                <c:pt idx="37">
                  <c:v>-368.74562420199999</c:v>
                </c:pt>
                <c:pt idx="38">
                  <c:v>-268.30241781199999</c:v>
                </c:pt>
                <c:pt idx="39">
                  <c:v>-129.15989318300001</c:v>
                </c:pt>
                <c:pt idx="40">
                  <c:v>57.772308793900002</c:v>
                </c:pt>
                <c:pt idx="41">
                  <c:v>284.91110541799998</c:v>
                </c:pt>
                <c:pt idx="42">
                  <c:v>455.605227109</c:v>
                </c:pt>
                <c:pt idx="43">
                  <c:v>476.82060198200003</c:v>
                </c:pt>
                <c:pt idx="44">
                  <c:v>309.87536620399999</c:v>
                </c:pt>
                <c:pt idx="45">
                  <c:v>56.155219302399999</c:v>
                </c:pt>
                <c:pt idx="46">
                  <c:v>-187.236483292</c:v>
                </c:pt>
                <c:pt idx="47">
                  <c:v>-356.56894874800003</c:v>
                </c:pt>
                <c:pt idx="48">
                  <c:v>-456.87009926399998</c:v>
                </c:pt>
                <c:pt idx="49">
                  <c:v>-506.08162132199999</c:v>
                </c:pt>
                <c:pt idx="50">
                  <c:v>-384.77317450499999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541-4A99-AE63-004067485B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908591"/>
        <c:axId val="1055658080"/>
      </c:scatterChart>
      <c:valAx>
        <c:axId val="1043908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Angle [Deg]</a:t>
                </a:r>
              </a:p>
            </c:rich>
          </c:tx>
          <c:layout>
            <c:manualLayout>
              <c:xMode val="edge"/>
              <c:yMode val="edge"/>
              <c:x val="0.43784845390105209"/>
              <c:y val="0.872700786151135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658080"/>
        <c:crosses val="autoZero"/>
        <c:crossBetween val="midCat"/>
      </c:valAx>
      <c:valAx>
        <c:axId val="105565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Torque [Nm]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908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[W]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Power [W]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'5 Ohm'!$B$3:$B$53</c:f>
              <c:numCache>
                <c:formatCode>General</c:formatCode>
                <c:ptCount val="51"/>
                <c:pt idx="0">
                  <c:v>0</c:v>
                </c:pt>
                <c:pt idx="1">
                  <c:v>6.6666670000000003E-4</c:v>
                </c:pt>
                <c:pt idx="2">
                  <c:v>1.3333334000000001E-3</c:v>
                </c:pt>
                <c:pt idx="3">
                  <c:v>2.0000001000000001E-3</c:v>
                </c:pt>
                <c:pt idx="4">
                  <c:v>2.6666668000000001E-3</c:v>
                </c:pt>
                <c:pt idx="5">
                  <c:v>3.3333335000000001E-3</c:v>
                </c:pt>
                <c:pt idx="6">
                  <c:v>4.0000002000000002E-3</c:v>
                </c:pt>
                <c:pt idx="7">
                  <c:v>4.6666668999999997E-3</c:v>
                </c:pt>
                <c:pt idx="8">
                  <c:v>5.3333336000000002E-3</c:v>
                </c:pt>
                <c:pt idx="9">
                  <c:v>6.0000002999999998E-3</c:v>
                </c:pt>
                <c:pt idx="10">
                  <c:v>6.6666670000000003E-3</c:v>
                </c:pt>
                <c:pt idx="11">
                  <c:v>7.3333336999999998E-3</c:v>
                </c:pt>
                <c:pt idx="12">
                  <c:v>8.0000004000000003E-3</c:v>
                </c:pt>
                <c:pt idx="13">
                  <c:v>8.6666671000000008E-3</c:v>
                </c:pt>
                <c:pt idx="14">
                  <c:v>9.3333337999999995E-3</c:v>
                </c:pt>
                <c:pt idx="15">
                  <c:v>1.00000005E-2</c:v>
                </c:pt>
                <c:pt idx="16">
                  <c:v>1.06666672E-2</c:v>
                </c:pt>
                <c:pt idx="17">
                  <c:v>1.1333333900000001E-2</c:v>
                </c:pt>
                <c:pt idx="18">
                  <c:v>1.20000006E-2</c:v>
                </c:pt>
                <c:pt idx="19">
                  <c:v>1.26666673E-2</c:v>
                </c:pt>
                <c:pt idx="20">
                  <c:v>1.3333334000000001E-2</c:v>
                </c:pt>
                <c:pt idx="21">
                  <c:v>1.4000000699999999E-2</c:v>
                </c:pt>
                <c:pt idx="22">
                  <c:v>1.46666674E-2</c:v>
                </c:pt>
                <c:pt idx="23">
                  <c:v>1.53333341E-2</c:v>
                </c:pt>
                <c:pt idx="24">
                  <c:v>1.6000000800000001E-2</c:v>
                </c:pt>
                <c:pt idx="25">
                  <c:v>1.6666667499999999E-2</c:v>
                </c:pt>
                <c:pt idx="26">
                  <c:v>1.7333334200000002E-2</c:v>
                </c:pt>
                <c:pt idx="27">
                  <c:v>1.80000009E-2</c:v>
                </c:pt>
                <c:pt idx="28">
                  <c:v>1.8666667599999999E-2</c:v>
                </c:pt>
                <c:pt idx="29">
                  <c:v>1.9333334300000001E-2</c:v>
                </c:pt>
                <c:pt idx="30">
                  <c:v>2.0000001E-2</c:v>
                </c:pt>
                <c:pt idx="31">
                  <c:v>2.0666667699999999E-2</c:v>
                </c:pt>
                <c:pt idx="32">
                  <c:v>2.1333334400000001E-2</c:v>
                </c:pt>
                <c:pt idx="33">
                  <c:v>2.20000011E-2</c:v>
                </c:pt>
                <c:pt idx="34">
                  <c:v>2.2666667800000002E-2</c:v>
                </c:pt>
                <c:pt idx="35">
                  <c:v>2.33333345E-2</c:v>
                </c:pt>
                <c:pt idx="36">
                  <c:v>2.4000001199999999E-2</c:v>
                </c:pt>
                <c:pt idx="37">
                  <c:v>2.4666667900000001E-2</c:v>
                </c:pt>
                <c:pt idx="38">
                  <c:v>2.53333346E-2</c:v>
                </c:pt>
                <c:pt idx="39">
                  <c:v>2.6000001299999999E-2</c:v>
                </c:pt>
                <c:pt idx="40">
                  <c:v>2.6666668000000001E-2</c:v>
                </c:pt>
                <c:pt idx="41">
                  <c:v>2.73333347E-2</c:v>
                </c:pt>
                <c:pt idx="42">
                  <c:v>2.8000001399999998E-2</c:v>
                </c:pt>
                <c:pt idx="43">
                  <c:v>2.8666668100000001E-2</c:v>
                </c:pt>
                <c:pt idx="44">
                  <c:v>2.9333334799999999E-2</c:v>
                </c:pt>
                <c:pt idx="45">
                  <c:v>3.0000001500000002E-2</c:v>
                </c:pt>
                <c:pt idx="46">
                  <c:v>3.06666682E-2</c:v>
                </c:pt>
                <c:pt idx="47">
                  <c:v>3.1333334900000002E-2</c:v>
                </c:pt>
                <c:pt idx="48">
                  <c:v>3.2000001600000001E-2</c:v>
                </c:pt>
                <c:pt idx="49">
                  <c:v>3.26666683E-2</c:v>
                </c:pt>
                <c:pt idx="50">
                  <c:v>3.3333334999999999E-2</c:v>
                </c:pt>
              </c:numCache>
            </c:numRef>
          </c:xVal>
          <c:yVal>
            <c:numRef>
              <c:f>'5 Ohm'!$F$3:$F$53</c:f>
              <c:numCache>
                <c:formatCode>0</c:formatCode>
                <c:ptCount val="51"/>
                <c:pt idx="0">
                  <c:v>7.1483009147099998E-16</c:v>
                </c:pt>
                <c:pt idx="1">
                  <c:v>1.1919320394999999</c:v>
                </c:pt>
                <c:pt idx="2">
                  <c:v>16.1814087638</c:v>
                </c:pt>
                <c:pt idx="3">
                  <c:v>51.215453886600002</c:v>
                </c:pt>
                <c:pt idx="4">
                  <c:v>59.119278406100001</c:v>
                </c:pt>
                <c:pt idx="5">
                  <c:v>13.380656355299999</c:v>
                </c:pt>
                <c:pt idx="6">
                  <c:v>76.530798862200001</c:v>
                </c:pt>
                <c:pt idx="7">
                  <c:v>677.98612792599999</c:v>
                </c:pt>
                <c:pt idx="8">
                  <c:v>2384.6258815199999</c:v>
                </c:pt>
                <c:pt idx="9">
                  <c:v>4980.3865602100004</c:v>
                </c:pt>
                <c:pt idx="10">
                  <c:v>7416.4174645700004</c:v>
                </c:pt>
                <c:pt idx="11">
                  <c:v>9013.4420062000008</c:v>
                </c:pt>
                <c:pt idx="12">
                  <c:v>9757.1096467099997</c:v>
                </c:pt>
                <c:pt idx="13">
                  <c:v>9771.37327052</c:v>
                </c:pt>
                <c:pt idx="14">
                  <c:v>9296.0407879300001</c:v>
                </c:pt>
                <c:pt idx="15">
                  <c:v>8534.2730908800004</c:v>
                </c:pt>
                <c:pt idx="16">
                  <c:v>7631.6465646500001</c:v>
                </c:pt>
                <c:pt idx="17">
                  <c:v>6351.4619968999996</c:v>
                </c:pt>
                <c:pt idx="18">
                  <c:v>4528.64722669</c:v>
                </c:pt>
                <c:pt idx="19">
                  <c:v>2588.0299491400001</c:v>
                </c:pt>
                <c:pt idx="20">
                  <c:v>1073.34775595</c:v>
                </c:pt>
                <c:pt idx="21">
                  <c:v>277.91487194600001</c:v>
                </c:pt>
                <c:pt idx="22">
                  <c:v>29.585171612100002</c:v>
                </c:pt>
                <c:pt idx="23">
                  <c:v>4.3803276170499998</c:v>
                </c:pt>
                <c:pt idx="24">
                  <c:v>18.7038615333</c:v>
                </c:pt>
                <c:pt idx="25">
                  <c:v>16.692285625099998</c:v>
                </c:pt>
                <c:pt idx="26">
                  <c:v>3.70175239232</c:v>
                </c:pt>
                <c:pt idx="27">
                  <c:v>5.5993889656900002</c:v>
                </c:pt>
                <c:pt idx="28">
                  <c:v>29.792111396900001</c:v>
                </c:pt>
                <c:pt idx="29">
                  <c:v>38.101803505600003</c:v>
                </c:pt>
                <c:pt idx="30">
                  <c:v>9.4521442992400004</c:v>
                </c:pt>
                <c:pt idx="31">
                  <c:v>72.600626220699993</c:v>
                </c:pt>
                <c:pt idx="32">
                  <c:v>691.96589449500004</c:v>
                </c:pt>
                <c:pt idx="33">
                  <c:v>2414.1969909300001</c:v>
                </c:pt>
                <c:pt idx="34">
                  <c:v>4994.1949329899999</c:v>
                </c:pt>
                <c:pt idx="35">
                  <c:v>7403.3903722699997</c:v>
                </c:pt>
                <c:pt idx="36">
                  <c:v>8965.7338066800003</c:v>
                </c:pt>
                <c:pt idx="37">
                  <c:v>9697.3308599699994</c:v>
                </c:pt>
                <c:pt idx="38">
                  <c:v>9743.39547494</c:v>
                </c:pt>
                <c:pt idx="39">
                  <c:v>9296.8078421600003</c:v>
                </c:pt>
                <c:pt idx="40">
                  <c:v>8563.5301220799993</c:v>
                </c:pt>
                <c:pt idx="41">
                  <c:v>7673.2091890499996</c:v>
                </c:pt>
                <c:pt idx="42">
                  <c:v>6386.8983596400003</c:v>
                </c:pt>
                <c:pt idx="43">
                  <c:v>4511.2287415800001</c:v>
                </c:pt>
                <c:pt idx="44">
                  <c:v>2523.1282491699999</c:v>
                </c:pt>
                <c:pt idx="45">
                  <c:v>1088.3908658299999</c:v>
                </c:pt>
                <c:pt idx="46">
                  <c:v>309.82987525599998</c:v>
                </c:pt>
                <c:pt idx="47">
                  <c:v>30.100518987499999</c:v>
                </c:pt>
                <c:pt idx="48">
                  <c:v>7.8439764081499996</c:v>
                </c:pt>
                <c:pt idx="49">
                  <c:v>28.803863297100001</c:v>
                </c:pt>
                <c:pt idx="50">
                  <c:v>87.505786941799997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649-4924-8A26-36000B1FE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908591"/>
        <c:axId val="1055658080"/>
      </c:scatterChart>
      <c:valAx>
        <c:axId val="1043908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658080"/>
        <c:crosses val="autoZero"/>
        <c:crossBetween val="midCat"/>
      </c:valAx>
      <c:valAx>
        <c:axId val="105565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[W]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908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Torque [Nm]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Torque [Nm]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 Ohm'!$B$3:$B$53</c:f>
              <c:numCache>
                <c:formatCode>General</c:formatCode>
                <c:ptCount val="51"/>
                <c:pt idx="0">
                  <c:v>0</c:v>
                </c:pt>
                <c:pt idx="1">
                  <c:v>6.6666670000000003E-4</c:v>
                </c:pt>
                <c:pt idx="2">
                  <c:v>1.3333334000000001E-3</c:v>
                </c:pt>
                <c:pt idx="3">
                  <c:v>2.0000001000000001E-3</c:v>
                </c:pt>
                <c:pt idx="4">
                  <c:v>2.6666668000000001E-3</c:v>
                </c:pt>
                <c:pt idx="5">
                  <c:v>3.3333335000000001E-3</c:v>
                </c:pt>
                <c:pt idx="6">
                  <c:v>4.0000002000000002E-3</c:v>
                </c:pt>
                <c:pt idx="7">
                  <c:v>4.6666668999999997E-3</c:v>
                </c:pt>
                <c:pt idx="8">
                  <c:v>5.3333336000000002E-3</c:v>
                </c:pt>
                <c:pt idx="9">
                  <c:v>6.0000002999999998E-3</c:v>
                </c:pt>
                <c:pt idx="10">
                  <c:v>6.6666670000000003E-3</c:v>
                </c:pt>
                <c:pt idx="11">
                  <c:v>7.3333336999999998E-3</c:v>
                </c:pt>
                <c:pt idx="12">
                  <c:v>8.0000004000000003E-3</c:v>
                </c:pt>
                <c:pt idx="13">
                  <c:v>8.6666671000000008E-3</c:v>
                </c:pt>
                <c:pt idx="14">
                  <c:v>9.3333337999999995E-3</c:v>
                </c:pt>
                <c:pt idx="15">
                  <c:v>1.00000005E-2</c:v>
                </c:pt>
                <c:pt idx="16">
                  <c:v>1.06666672E-2</c:v>
                </c:pt>
                <c:pt idx="17">
                  <c:v>1.1333333900000001E-2</c:v>
                </c:pt>
                <c:pt idx="18">
                  <c:v>1.20000006E-2</c:v>
                </c:pt>
                <c:pt idx="19">
                  <c:v>1.26666673E-2</c:v>
                </c:pt>
                <c:pt idx="20">
                  <c:v>1.3333334000000001E-2</c:v>
                </c:pt>
                <c:pt idx="21">
                  <c:v>1.4000000699999999E-2</c:v>
                </c:pt>
                <c:pt idx="22">
                  <c:v>1.46666674E-2</c:v>
                </c:pt>
                <c:pt idx="23">
                  <c:v>1.53333341E-2</c:v>
                </c:pt>
                <c:pt idx="24">
                  <c:v>1.6000000800000001E-2</c:v>
                </c:pt>
                <c:pt idx="25">
                  <c:v>1.6666667499999999E-2</c:v>
                </c:pt>
                <c:pt idx="26">
                  <c:v>1.7333334200000002E-2</c:v>
                </c:pt>
                <c:pt idx="27">
                  <c:v>1.80000009E-2</c:v>
                </c:pt>
                <c:pt idx="28">
                  <c:v>1.8666667599999999E-2</c:v>
                </c:pt>
                <c:pt idx="29">
                  <c:v>1.9333334300000001E-2</c:v>
                </c:pt>
                <c:pt idx="30">
                  <c:v>2.0000001E-2</c:v>
                </c:pt>
                <c:pt idx="31">
                  <c:v>2.0666667699999999E-2</c:v>
                </c:pt>
                <c:pt idx="32">
                  <c:v>2.1333334400000001E-2</c:v>
                </c:pt>
                <c:pt idx="33">
                  <c:v>2.20000011E-2</c:v>
                </c:pt>
                <c:pt idx="34">
                  <c:v>2.2666667800000002E-2</c:v>
                </c:pt>
                <c:pt idx="35">
                  <c:v>2.33333345E-2</c:v>
                </c:pt>
                <c:pt idx="36">
                  <c:v>2.4000001199999999E-2</c:v>
                </c:pt>
                <c:pt idx="37">
                  <c:v>2.4666667900000001E-2</c:v>
                </c:pt>
                <c:pt idx="38">
                  <c:v>2.53333346E-2</c:v>
                </c:pt>
                <c:pt idx="39">
                  <c:v>2.6000001299999999E-2</c:v>
                </c:pt>
                <c:pt idx="40">
                  <c:v>2.6666668000000001E-2</c:v>
                </c:pt>
                <c:pt idx="41">
                  <c:v>2.73333347E-2</c:v>
                </c:pt>
                <c:pt idx="42">
                  <c:v>2.8000001399999998E-2</c:v>
                </c:pt>
                <c:pt idx="43">
                  <c:v>2.8666668100000001E-2</c:v>
                </c:pt>
                <c:pt idx="44">
                  <c:v>2.9333334799999999E-2</c:v>
                </c:pt>
                <c:pt idx="45">
                  <c:v>3.0000001500000002E-2</c:v>
                </c:pt>
                <c:pt idx="46">
                  <c:v>3.06666682E-2</c:v>
                </c:pt>
                <c:pt idx="47">
                  <c:v>3.1333334900000002E-2</c:v>
                </c:pt>
                <c:pt idx="48">
                  <c:v>3.2000001600000001E-2</c:v>
                </c:pt>
                <c:pt idx="49">
                  <c:v>3.26666683E-2</c:v>
                </c:pt>
                <c:pt idx="50">
                  <c:v>3.3333334999999999E-2</c:v>
                </c:pt>
              </c:numCache>
            </c:numRef>
          </c:xVal>
          <c:yVal>
            <c:numRef>
              <c:f>'2 Ohm'!$D$3:$D$53</c:f>
              <c:numCache>
                <c:formatCode>0.0</c:formatCode>
                <c:ptCount val="51"/>
                <c:pt idx="0">
                  <c:v>-512.66391463299999</c:v>
                </c:pt>
                <c:pt idx="1">
                  <c:v>-489.37284704799998</c:v>
                </c:pt>
                <c:pt idx="2">
                  <c:v>-414.42186543299999</c:v>
                </c:pt>
                <c:pt idx="3">
                  <c:v>-267.11354248999999</c:v>
                </c:pt>
                <c:pt idx="4">
                  <c:v>-14.7061199075</c:v>
                </c:pt>
                <c:pt idx="5">
                  <c:v>314.98292510300001</c:v>
                </c:pt>
                <c:pt idx="6">
                  <c:v>616.68852512000001</c:v>
                </c:pt>
                <c:pt idx="7">
                  <c:v>761.43522031600003</c:v>
                </c:pt>
                <c:pt idx="8">
                  <c:v>784.97487018499999</c:v>
                </c:pt>
                <c:pt idx="9">
                  <c:v>785.39541249599995</c:v>
                </c:pt>
                <c:pt idx="10">
                  <c:v>803.69856746400001</c:v>
                </c:pt>
                <c:pt idx="11">
                  <c:v>811.99341145799997</c:v>
                </c:pt>
                <c:pt idx="12">
                  <c:v>783.15360059299996</c:v>
                </c:pt>
                <c:pt idx="13">
                  <c:v>709.75437792399998</c:v>
                </c:pt>
                <c:pt idx="14">
                  <c:v>574.584490845</c:v>
                </c:pt>
                <c:pt idx="15">
                  <c:v>378.07565199200002</c:v>
                </c:pt>
                <c:pt idx="16">
                  <c:v>125.742186625</c:v>
                </c:pt>
                <c:pt idx="17">
                  <c:v>-122.650079218</c:v>
                </c:pt>
                <c:pt idx="18">
                  <c:v>-245.56148622699999</c:v>
                </c:pt>
                <c:pt idx="19">
                  <c:v>-195.31525094099999</c:v>
                </c:pt>
                <c:pt idx="20">
                  <c:v>-18.875694588399998</c:v>
                </c:pt>
                <c:pt idx="21">
                  <c:v>183.87220382000001</c:v>
                </c:pt>
                <c:pt idx="22">
                  <c:v>350.428783877</c:v>
                </c:pt>
                <c:pt idx="23">
                  <c:v>459.68608396799999</c:v>
                </c:pt>
                <c:pt idx="24">
                  <c:v>519.54376117100003</c:v>
                </c:pt>
                <c:pt idx="25">
                  <c:v>540.00704136299998</c:v>
                </c:pt>
                <c:pt idx="26">
                  <c:v>519.01797204000002</c:v>
                </c:pt>
                <c:pt idx="27">
                  <c:v>444.47745326</c:v>
                </c:pt>
                <c:pt idx="28">
                  <c:v>292.71168151699999</c:v>
                </c:pt>
                <c:pt idx="29">
                  <c:v>41.6637202776</c:v>
                </c:pt>
                <c:pt idx="30">
                  <c:v>-284.97018157000002</c:v>
                </c:pt>
                <c:pt idx="31">
                  <c:v>-578.14663849299995</c:v>
                </c:pt>
                <c:pt idx="32">
                  <c:v>-729.15375077099998</c:v>
                </c:pt>
                <c:pt idx="33">
                  <c:v>-754.96736251599998</c:v>
                </c:pt>
                <c:pt idx="34">
                  <c:v>-764.45982821200005</c:v>
                </c:pt>
                <c:pt idx="35">
                  <c:v>-796.45001804000003</c:v>
                </c:pt>
                <c:pt idx="36">
                  <c:v>-819.74036099</c:v>
                </c:pt>
                <c:pt idx="37">
                  <c:v>-791.90431848100002</c:v>
                </c:pt>
                <c:pt idx="38">
                  <c:v>-707.30910810800003</c:v>
                </c:pt>
                <c:pt idx="39">
                  <c:v>-562.08062229699999</c:v>
                </c:pt>
                <c:pt idx="40">
                  <c:v>-353.78853709399999</c:v>
                </c:pt>
                <c:pt idx="41">
                  <c:v>-95.384464599099999</c:v>
                </c:pt>
                <c:pt idx="42">
                  <c:v>157.32112667999999</c:v>
                </c:pt>
                <c:pt idx="43">
                  <c:v>287.75283613800002</c:v>
                </c:pt>
                <c:pt idx="44">
                  <c:v>226.658986712</c:v>
                </c:pt>
                <c:pt idx="45">
                  <c:v>46.6662249213</c:v>
                </c:pt>
                <c:pt idx="46">
                  <c:v>-159.45322972700001</c:v>
                </c:pt>
                <c:pt idx="47">
                  <c:v>-322.24650826700002</c:v>
                </c:pt>
                <c:pt idx="48">
                  <c:v>-429.32076482000002</c:v>
                </c:pt>
                <c:pt idx="49">
                  <c:v>-488.44130244799999</c:v>
                </c:pt>
                <c:pt idx="50">
                  <c:v>-431.50597949100001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78C-483C-B962-02B3DF4F0C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908591"/>
        <c:axId val="1055658080"/>
      </c:scatterChart>
      <c:valAx>
        <c:axId val="1043908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[s]</a:t>
                </a:r>
              </a:p>
            </c:rich>
          </c:tx>
          <c:layout>
            <c:manualLayout>
              <c:xMode val="edge"/>
              <c:yMode val="edge"/>
              <c:x val="0.48709277802285461"/>
              <c:y val="0.866348554929919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658080"/>
        <c:crosses val="autoZero"/>
        <c:crossBetween val="midCat"/>
      </c:valAx>
      <c:valAx>
        <c:axId val="105565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Torque [Nm]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908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Voltage [V]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Voltage [V]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 Ohm'!$B$3:$B$53</c:f>
              <c:numCache>
                <c:formatCode>General</c:formatCode>
                <c:ptCount val="51"/>
                <c:pt idx="0">
                  <c:v>0</c:v>
                </c:pt>
                <c:pt idx="1">
                  <c:v>6.6666670000000003E-4</c:v>
                </c:pt>
                <c:pt idx="2">
                  <c:v>1.3333334000000001E-3</c:v>
                </c:pt>
                <c:pt idx="3">
                  <c:v>2.0000001000000001E-3</c:v>
                </c:pt>
                <c:pt idx="4">
                  <c:v>2.6666668000000001E-3</c:v>
                </c:pt>
                <c:pt idx="5">
                  <c:v>3.3333335000000001E-3</c:v>
                </c:pt>
                <c:pt idx="6">
                  <c:v>4.0000002000000002E-3</c:v>
                </c:pt>
                <c:pt idx="7">
                  <c:v>4.6666668999999997E-3</c:v>
                </c:pt>
                <c:pt idx="8">
                  <c:v>5.3333336000000002E-3</c:v>
                </c:pt>
                <c:pt idx="9">
                  <c:v>6.0000002999999998E-3</c:v>
                </c:pt>
                <c:pt idx="10">
                  <c:v>6.6666670000000003E-3</c:v>
                </c:pt>
                <c:pt idx="11">
                  <c:v>7.3333336999999998E-3</c:v>
                </c:pt>
                <c:pt idx="12">
                  <c:v>8.0000004000000003E-3</c:v>
                </c:pt>
                <c:pt idx="13">
                  <c:v>8.6666671000000008E-3</c:v>
                </c:pt>
                <c:pt idx="14">
                  <c:v>9.3333337999999995E-3</c:v>
                </c:pt>
                <c:pt idx="15">
                  <c:v>1.00000005E-2</c:v>
                </c:pt>
                <c:pt idx="16">
                  <c:v>1.06666672E-2</c:v>
                </c:pt>
                <c:pt idx="17">
                  <c:v>1.1333333900000001E-2</c:v>
                </c:pt>
                <c:pt idx="18">
                  <c:v>1.20000006E-2</c:v>
                </c:pt>
                <c:pt idx="19">
                  <c:v>1.26666673E-2</c:v>
                </c:pt>
                <c:pt idx="20">
                  <c:v>1.3333334000000001E-2</c:v>
                </c:pt>
                <c:pt idx="21">
                  <c:v>1.4000000699999999E-2</c:v>
                </c:pt>
                <c:pt idx="22">
                  <c:v>1.46666674E-2</c:v>
                </c:pt>
                <c:pt idx="23">
                  <c:v>1.53333341E-2</c:v>
                </c:pt>
                <c:pt idx="24">
                  <c:v>1.6000000800000001E-2</c:v>
                </c:pt>
                <c:pt idx="25">
                  <c:v>1.6666667499999999E-2</c:v>
                </c:pt>
                <c:pt idx="26">
                  <c:v>1.7333334200000002E-2</c:v>
                </c:pt>
                <c:pt idx="27">
                  <c:v>1.80000009E-2</c:v>
                </c:pt>
                <c:pt idx="28">
                  <c:v>1.8666667599999999E-2</c:v>
                </c:pt>
                <c:pt idx="29">
                  <c:v>1.9333334300000001E-2</c:v>
                </c:pt>
                <c:pt idx="30">
                  <c:v>2.0000001E-2</c:v>
                </c:pt>
                <c:pt idx="31">
                  <c:v>2.0666667699999999E-2</c:v>
                </c:pt>
                <c:pt idx="32">
                  <c:v>2.1333334400000001E-2</c:v>
                </c:pt>
                <c:pt idx="33">
                  <c:v>2.20000011E-2</c:v>
                </c:pt>
                <c:pt idx="34">
                  <c:v>2.2666667800000002E-2</c:v>
                </c:pt>
                <c:pt idx="35">
                  <c:v>2.33333345E-2</c:v>
                </c:pt>
                <c:pt idx="36">
                  <c:v>2.4000001199999999E-2</c:v>
                </c:pt>
                <c:pt idx="37">
                  <c:v>2.4666667900000001E-2</c:v>
                </c:pt>
                <c:pt idx="38">
                  <c:v>2.53333346E-2</c:v>
                </c:pt>
                <c:pt idx="39">
                  <c:v>2.6000001299999999E-2</c:v>
                </c:pt>
                <c:pt idx="40">
                  <c:v>2.6666668000000001E-2</c:v>
                </c:pt>
                <c:pt idx="41">
                  <c:v>2.73333347E-2</c:v>
                </c:pt>
                <c:pt idx="42">
                  <c:v>2.8000001399999998E-2</c:v>
                </c:pt>
                <c:pt idx="43">
                  <c:v>2.8666668100000001E-2</c:v>
                </c:pt>
                <c:pt idx="44">
                  <c:v>2.9333334799999999E-2</c:v>
                </c:pt>
                <c:pt idx="45">
                  <c:v>3.0000001500000002E-2</c:v>
                </c:pt>
                <c:pt idx="46">
                  <c:v>3.06666682E-2</c:v>
                </c:pt>
                <c:pt idx="47">
                  <c:v>3.1333334900000002E-2</c:v>
                </c:pt>
                <c:pt idx="48">
                  <c:v>3.2000001600000001E-2</c:v>
                </c:pt>
                <c:pt idx="49">
                  <c:v>3.26666683E-2</c:v>
                </c:pt>
                <c:pt idx="50">
                  <c:v>3.3333334999999999E-2</c:v>
                </c:pt>
              </c:numCache>
            </c:numRef>
          </c:xVal>
          <c:yVal>
            <c:numRef>
              <c:f>'2 Ohm'!$E$3:$E$53</c:f>
              <c:numCache>
                <c:formatCode>0.0</c:formatCode>
                <c:ptCount val="51"/>
                <c:pt idx="0">
                  <c:v>8.3073373922399993E-6</c:v>
                </c:pt>
                <c:pt idx="1">
                  <c:v>-2.43724211968</c:v>
                </c:pt>
                <c:pt idx="2">
                  <c:v>-8.0555884541299996</c:v>
                </c:pt>
                <c:pt idx="3">
                  <c:v>-12.937965822500001</c:v>
                </c:pt>
                <c:pt idx="4">
                  <c:v>-12.8431266228</c:v>
                </c:pt>
                <c:pt idx="5">
                  <c:v>-2.2360968352000001</c:v>
                </c:pt>
                <c:pt idx="6">
                  <c:v>16.270613731200001</c:v>
                </c:pt>
                <c:pt idx="7">
                  <c:v>47.909284272900003</c:v>
                </c:pt>
                <c:pt idx="8">
                  <c:v>85.611164731200006</c:v>
                </c:pt>
                <c:pt idx="9">
                  <c:v>121.776945513</c:v>
                </c:pt>
                <c:pt idx="10">
                  <c:v>149.94133407699999</c:v>
                </c:pt>
                <c:pt idx="11">
                  <c:v>170.02547890899999</c:v>
                </c:pt>
                <c:pt idx="12">
                  <c:v>182.65117818100001</c:v>
                </c:pt>
                <c:pt idx="13">
                  <c:v>188.23722699499999</c:v>
                </c:pt>
                <c:pt idx="14">
                  <c:v>187.79771838400001</c:v>
                </c:pt>
                <c:pt idx="15">
                  <c:v>183.35539080199999</c:v>
                </c:pt>
                <c:pt idx="16">
                  <c:v>176.71036882300001</c:v>
                </c:pt>
                <c:pt idx="17">
                  <c:v>166.42850788999999</c:v>
                </c:pt>
                <c:pt idx="18">
                  <c:v>148.71786192299999</c:v>
                </c:pt>
                <c:pt idx="19">
                  <c:v>123.332582028</c:v>
                </c:pt>
                <c:pt idx="20">
                  <c:v>92.263495412099999</c:v>
                </c:pt>
                <c:pt idx="21">
                  <c:v>61.478479279200002</c:v>
                </c:pt>
                <c:pt idx="22">
                  <c:v>36.421985816999999</c:v>
                </c:pt>
                <c:pt idx="23">
                  <c:v>18.945800202200001</c:v>
                </c:pt>
                <c:pt idx="24">
                  <c:v>8.6938426715099997</c:v>
                </c:pt>
                <c:pt idx="25">
                  <c:v>4.3910396018700002</c:v>
                </c:pt>
                <c:pt idx="26">
                  <c:v>4.9928722097399998</c:v>
                </c:pt>
                <c:pt idx="27">
                  <c:v>8.7042045170200009</c:v>
                </c:pt>
                <c:pt idx="28">
                  <c:v>12.2174061642</c:v>
                </c:pt>
                <c:pt idx="29">
                  <c:v>11.5811795305</c:v>
                </c:pt>
                <c:pt idx="30">
                  <c:v>3.36343499532</c:v>
                </c:pt>
                <c:pt idx="31">
                  <c:v>-16.170381562999999</c:v>
                </c:pt>
                <c:pt idx="32">
                  <c:v>-48.317322494999999</c:v>
                </c:pt>
                <c:pt idx="33">
                  <c:v>-85.948378517600005</c:v>
                </c:pt>
                <c:pt idx="34">
                  <c:v>-121.841121769</c:v>
                </c:pt>
                <c:pt idx="35">
                  <c:v>-149.88071603</c:v>
                </c:pt>
                <c:pt idx="36">
                  <c:v>-169.47022752000001</c:v>
                </c:pt>
                <c:pt idx="37">
                  <c:v>-182.012038883</c:v>
                </c:pt>
                <c:pt idx="38">
                  <c:v>-187.76699759100001</c:v>
                </c:pt>
                <c:pt idx="39">
                  <c:v>-187.43293643800001</c:v>
                </c:pt>
                <c:pt idx="40">
                  <c:v>-183.43436189900001</c:v>
                </c:pt>
                <c:pt idx="41">
                  <c:v>-176.77435834600001</c:v>
                </c:pt>
                <c:pt idx="42">
                  <c:v>-166.880746867</c:v>
                </c:pt>
                <c:pt idx="43">
                  <c:v>-148.16968065500001</c:v>
                </c:pt>
                <c:pt idx="44">
                  <c:v>-122.237307411</c:v>
                </c:pt>
                <c:pt idx="45">
                  <c:v>-94.415561617799995</c:v>
                </c:pt>
                <c:pt idx="46">
                  <c:v>-62.477664198399999</c:v>
                </c:pt>
                <c:pt idx="47">
                  <c:v>-36.075409669999999</c:v>
                </c:pt>
                <c:pt idx="48">
                  <c:v>-17.710870029799999</c:v>
                </c:pt>
                <c:pt idx="49">
                  <c:v>-7.0701846491799998</c:v>
                </c:pt>
                <c:pt idx="50">
                  <c:v>3.6112069797099999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2D1-491F-84B8-229F17CDB5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908591"/>
        <c:axId val="1055658080"/>
      </c:scatterChart>
      <c:valAx>
        <c:axId val="1043908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658080"/>
        <c:crosses val="autoZero"/>
        <c:crossBetween val="midCat"/>
      </c:valAx>
      <c:valAx>
        <c:axId val="105565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Voltage [V]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908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Torque [Nm]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Torque [Nm]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 Ohm'!$C$3:$C$53</c:f>
              <c:numCache>
                <c:formatCode>0.00</c:formatCode>
                <c:ptCount val="51"/>
                <c:pt idx="0">
                  <c:v>9</c:v>
                </c:pt>
                <c:pt idx="1">
                  <c:v>8.9103999982079998</c:v>
                </c:pt>
                <c:pt idx="2">
                  <c:v>8.6415999928319991</c:v>
                </c:pt>
                <c:pt idx="3">
                  <c:v>8.1935999838719997</c:v>
                </c:pt>
                <c:pt idx="4">
                  <c:v>7.5663999713300001</c:v>
                </c:pt>
                <c:pt idx="5">
                  <c:v>6.7599999551999996</c:v>
                </c:pt>
                <c:pt idx="6">
                  <c:v>5.77439993549</c:v>
                </c:pt>
                <c:pt idx="7">
                  <c:v>4.6671998854099996</c:v>
                </c:pt>
                <c:pt idx="8">
                  <c:v>3.5791998290900002</c:v>
                </c:pt>
                <c:pt idx="9">
                  <c:v>2.5167997763500001</c:v>
                </c:pt>
                <c:pt idx="10">
                  <c:v>1.4799997272000001</c:v>
                </c:pt>
                <c:pt idx="11">
                  <c:v>0.4687996816299993</c:v>
                </c:pt>
                <c:pt idx="12">
                  <c:v>-0.51680036035000043</c:v>
                </c:pt>
                <c:pt idx="13">
                  <c:v>-1.4768003988</c:v>
                </c:pt>
                <c:pt idx="14">
                  <c:v>-2.4112004335999995</c:v>
                </c:pt>
                <c:pt idx="15">
                  <c:v>-3.3200004647999997</c:v>
                </c:pt>
                <c:pt idx="16">
                  <c:v>-4.2032004924000006</c:v>
                </c:pt>
                <c:pt idx="17">
                  <c:v>-5.0608005165000005</c:v>
                </c:pt>
                <c:pt idx="18">
                  <c:v>-5.8928005369999994</c:v>
                </c:pt>
                <c:pt idx="19">
                  <c:v>-6.6960005327999994</c:v>
                </c:pt>
                <c:pt idx="20">
                  <c:v>-7.400000519999999</c:v>
                </c:pt>
                <c:pt idx="21">
                  <c:v>-7.9760005967999987</c:v>
                </c:pt>
                <c:pt idx="22">
                  <c:v>-8.4240007631999987</c:v>
                </c:pt>
                <c:pt idx="23">
                  <c:v>-8.7440010191999988</c:v>
                </c:pt>
                <c:pt idx="24">
                  <c:v>-8.9360013647999992</c:v>
                </c:pt>
                <c:pt idx="25">
                  <c:v>-9.0000017999999997</c:v>
                </c:pt>
                <c:pt idx="26">
                  <c:v>-8.9104023197000011</c:v>
                </c:pt>
                <c:pt idx="27">
                  <c:v>-8.6416025346999987</c:v>
                </c:pt>
                <c:pt idx="28">
                  <c:v>-8.1936024451000016</c:v>
                </c:pt>
                <c:pt idx="29">
                  <c:v>-7.566402050899999</c:v>
                </c:pt>
                <c:pt idx="30">
                  <c:v>-6.7600013519999997</c:v>
                </c:pt>
                <c:pt idx="31">
                  <c:v>-5.7744003485000004</c:v>
                </c:pt>
                <c:pt idx="32">
                  <c:v>-4.6672001289999994</c:v>
                </c:pt>
                <c:pt idx="33">
                  <c:v>-3.5792002186000005</c:v>
                </c:pt>
                <c:pt idx="34">
                  <c:v>-2.5168002902000008</c:v>
                </c:pt>
                <c:pt idx="35">
                  <c:v>-1.4800003440000005</c:v>
                </c:pt>
                <c:pt idx="36">
                  <c:v>-0.46880037983999934</c:v>
                </c:pt>
                <c:pt idx="37">
                  <c:v>0.51679960224000077</c:v>
                </c:pt>
                <c:pt idx="38">
                  <c:v>1.4767996022399998</c:v>
                </c:pt>
                <c:pt idx="39">
                  <c:v>2.4111996201599997</c:v>
                </c:pt>
                <c:pt idx="40">
                  <c:v>3.3199996560000002</c:v>
                </c:pt>
                <c:pt idx="41">
                  <c:v>4.2031997097599998</c:v>
                </c:pt>
                <c:pt idx="42">
                  <c:v>5.0607997814400001</c:v>
                </c:pt>
                <c:pt idx="43">
                  <c:v>5.8927998710399994</c:v>
                </c:pt>
                <c:pt idx="44">
                  <c:v>6.6960000144</c:v>
                </c:pt>
                <c:pt idx="45">
                  <c:v>7.3999995599999995</c:v>
                </c:pt>
                <c:pt idx="46">
                  <c:v>7.9759979663799996</c:v>
                </c:pt>
                <c:pt idx="47">
                  <c:v>8.4239952335569992</c:v>
                </c:pt>
                <c:pt idx="48">
                  <c:v>8.7439913615229994</c:v>
                </c:pt>
                <c:pt idx="49">
                  <c:v>8.9359863502780996</c:v>
                </c:pt>
                <c:pt idx="50">
                  <c:v>8.99998019975307</c:v>
                </c:pt>
              </c:numCache>
            </c:numRef>
          </c:xVal>
          <c:yVal>
            <c:numRef>
              <c:f>'2 Ohm'!$D$3:$D$53</c:f>
              <c:numCache>
                <c:formatCode>0.0</c:formatCode>
                <c:ptCount val="51"/>
                <c:pt idx="0">
                  <c:v>-512.66391463299999</c:v>
                </c:pt>
                <c:pt idx="1">
                  <c:v>-489.37284704799998</c:v>
                </c:pt>
                <c:pt idx="2">
                  <c:v>-414.42186543299999</c:v>
                </c:pt>
                <c:pt idx="3">
                  <c:v>-267.11354248999999</c:v>
                </c:pt>
                <c:pt idx="4">
                  <c:v>-14.7061199075</c:v>
                </c:pt>
                <c:pt idx="5">
                  <c:v>314.98292510300001</c:v>
                </c:pt>
                <c:pt idx="6">
                  <c:v>616.68852512000001</c:v>
                </c:pt>
                <c:pt idx="7">
                  <c:v>761.43522031600003</c:v>
                </c:pt>
                <c:pt idx="8">
                  <c:v>784.97487018499999</c:v>
                </c:pt>
                <c:pt idx="9">
                  <c:v>785.39541249599995</c:v>
                </c:pt>
                <c:pt idx="10">
                  <c:v>803.69856746400001</c:v>
                </c:pt>
                <c:pt idx="11">
                  <c:v>811.99341145799997</c:v>
                </c:pt>
                <c:pt idx="12">
                  <c:v>783.15360059299996</c:v>
                </c:pt>
                <c:pt idx="13">
                  <c:v>709.75437792399998</c:v>
                </c:pt>
                <c:pt idx="14">
                  <c:v>574.584490845</c:v>
                </c:pt>
                <c:pt idx="15">
                  <c:v>378.07565199200002</c:v>
                </c:pt>
                <c:pt idx="16">
                  <c:v>125.742186625</c:v>
                </c:pt>
                <c:pt idx="17">
                  <c:v>-122.650079218</c:v>
                </c:pt>
                <c:pt idx="18">
                  <c:v>-245.56148622699999</c:v>
                </c:pt>
                <c:pt idx="19">
                  <c:v>-195.31525094099999</c:v>
                </c:pt>
                <c:pt idx="20">
                  <c:v>-18.875694588399998</c:v>
                </c:pt>
                <c:pt idx="21">
                  <c:v>183.87220382000001</c:v>
                </c:pt>
                <c:pt idx="22">
                  <c:v>350.428783877</c:v>
                </c:pt>
                <c:pt idx="23">
                  <c:v>459.68608396799999</c:v>
                </c:pt>
                <c:pt idx="24">
                  <c:v>519.54376117100003</c:v>
                </c:pt>
                <c:pt idx="25">
                  <c:v>540.00704136299998</c:v>
                </c:pt>
                <c:pt idx="26">
                  <c:v>519.01797204000002</c:v>
                </c:pt>
                <c:pt idx="27">
                  <c:v>444.47745326</c:v>
                </c:pt>
                <c:pt idx="28">
                  <c:v>292.71168151699999</c:v>
                </c:pt>
                <c:pt idx="29">
                  <c:v>41.6637202776</c:v>
                </c:pt>
                <c:pt idx="30">
                  <c:v>-284.97018157000002</c:v>
                </c:pt>
                <c:pt idx="31">
                  <c:v>-578.14663849299995</c:v>
                </c:pt>
                <c:pt idx="32">
                  <c:v>-729.15375077099998</c:v>
                </c:pt>
                <c:pt idx="33">
                  <c:v>-754.96736251599998</c:v>
                </c:pt>
                <c:pt idx="34">
                  <c:v>-764.45982821200005</c:v>
                </c:pt>
                <c:pt idx="35">
                  <c:v>-796.45001804000003</c:v>
                </c:pt>
                <c:pt idx="36">
                  <c:v>-819.74036099</c:v>
                </c:pt>
                <c:pt idx="37">
                  <c:v>-791.90431848100002</c:v>
                </c:pt>
                <c:pt idx="38">
                  <c:v>-707.30910810800003</c:v>
                </c:pt>
                <c:pt idx="39">
                  <c:v>-562.08062229699999</c:v>
                </c:pt>
                <c:pt idx="40">
                  <c:v>-353.78853709399999</c:v>
                </c:pt>
                <c:pt idx="41">
                  <c:v>-95.384464599099999</c:v>
                </c:pt>
                <c:pt idx="42">
                  <c:v>157.32112667999999</c:v>
                </c:pt>
                <c:pt idx="43">
                  <c:v>287.75283613800002</c:v>
                </c:pt>
                <c:pt idx="44">
                  <c:v>226.658986712</c:v>
                </c:pt>
                <c:pt idx="45">
                  <c:v>46.6662249213</c:v>
                </c:pt>
                <c:pt idx="46">
                  <c:v>-159.45322972700001</c:v>
                </c:pt>
                <c:pt idx="47">
                  <c:v>-322.24650826700002</c:v>
                </c:pt>
                <c:pt idx="48">
                  <c:v>-429.32076482000002</c:v>
                </c:pt>
                <c:pt idx="49">
                  <c:v>-488.44130244799999</c:v>
                </c:pt>
                <c:pt idx="50">
                  <c:v>-431.50597949100001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41C-4246-9C33-8DBE4F495C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908591"/>
        <c:axId val="1055658080"/>
      </c:scatterChart>
      <c:valAx>
        <c:axId val="1043908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Angle [Deg]</a:t>
                </a:r>
              </a:p>
            </c:rich>
          </c:tx>
          <c:layout>
            <c:manualLayout>
              <c:xMode val="edge"/>
              <c:yMode val="edge"/>
              <c:x val="0.43784845390105209"/>
              <c:y val="0.872700786151135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658080"/>
        <c:crosses val="autoZero"/>
        <c:crossBetween val="midCat"/>
      </c:valAx>
      <c:valAx>
        <c:axId val="105565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Torque [Nm]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908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[W]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El. Power [W]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 Ohm'!$B$3:$B$53</c:f>
              <c:numCache>
                <c:formatCode>General</c:formatCode>
                <c:ptCount val="51"/>
                <c:pt idx="0">
                  <c:v>0</c:v>
                </c:pt>
                <c:pt idx="1">
                  <c:v>6.6666670000000003E-4</c:v>
                </c:pt>
                <c:pt idx="2">
                  <c:v>1.3333334000000001E-3</c:v>
                </c:pt>
                <c:pt idx="3">
                  <c:v>2.0000001000000001E-3</c:v>
                </c:pt>
                <c:pt idx="4">
                  <c:v>2.6666668000000001E-3</c:v>
                </c:pt>
                <c:pt idx="5">
                  <c:v>3.3333335000000001E-3</c:v>
                </c:pt>
                <c:pt idx="6">
                  <c:v>4.0000002000000002E-3</c:v>
                </c:pt>
                <c:pt idx="7">
                  <c:v>4.6666668999999997E-3</c:v>
                </c:pt>
                <c:pt idx="8">
                  <c:v>5.3333336000000002E-3</c:v>
                </c:pt>
                <c:pt idx="9">
                  <c:v>6.0000002999999998E-3</c:v>
                </c:pt>
                <c:pt idx="10">
                  <c:v>6.6666670000000003E-3</c:v>
                </c:pt>
                <c:pt idx="11">
                  <c:v>7.3333336999999998E-3</c:v>
                </c:pt>
                <c:pt idx="12">
                  <c:v>8.0000004000000003E-3</c:v>
                </c:pt>
                <c:pt idx="13">
                  <c:v>8.6666671000000008E-3</c:v>
                </c:pt>
                <c:pt idx="14">
                  <c:v>9.3333337999999995E-3</c:v>
                </c:pt>
                <c:pt idx="15">
                  <c:v>1.00000005E-2</c:v>
                </c:pt>
                <c:pt idx="16">
                  <c:v>1.06666672E-2</c:v>
                </c:pt>
                <c:pt idx="17">
                  <c:v>1.1333333900000001E-2</c:v>
                </c:pt>
                <c:pt idx="18">
                  <c:v>1.20000006E-2</c:v>
                </c:pt>
                <c:pt idx="19">
                  <c:v>1.26666673E-2</c:v>
                </c:pt>
                <c:pt idx="20">
                  <c:v>1.3333334000000001E-2</c:v>
                </c:pt>
                <c:pt idx="21">
                  <c:v>1.4000000699999999E-2</c:v>
                </c:pt>
                <c:pt idx="22">
                  <c:v>1.46666674E-2</c:v>
                </c:pt>
                <c:pt idx="23">
                  <c:v>1.53333341E-2</c:v>
                </c:pt>
                <c:pt idx="24">
                  <c:v>1.6000000800000001E-2</c:v>
                </c:pt>
                <c:pt idx="25">
                  <c:v>1.6666667499999999E-2</c:v>
                </c:pt>
                <c:pt idx="26">
                  <c:v>1.7333334200000002E-2</c:v>
                </c:pt>
                <c:pt idx="27">
                  <c:v>1.80000009E-2</c:v>
                </c:pt>
                <c:pt idx="28">
                  <c:v>1.8666667599999999E-2</c:v>
                </c:pt>
                <c:pt idx="29">
                  <c:v>1.9333334300000001E-2</c:v>
                </c:pt>
                <c:pt idx="30">
                  <c:v>2.0000001E-2</c:v>
                </c:pt>
                <c:pt idx="31">
                  <c:v>2.0666667699999999E-2</c:v>
                </c:pt>
                <c:pt idx="32">
                  <c:v>2.1333334400000001E-2</c:v>
                </c:pt>
                <c:pt idx="33">
                  <c:v>2.20000011E-2</c:v>
                </c:pt>
                <c:pt idx="34">
                  <c:v>2.2666667800000002E-2</c:v>
                </c:pt>
                <c:pt idx="35">
                  <c:v>2.33333345E-2</c:v>
                </c:pt>
                <c:pt idx="36">
                  <c:v>2.4000001199999999E-2</c:v>
                </c:pt>
                <c:pt idx="37">
                  <c:v>2.4666667900000001E-2</c:v>
                </c:pt>
                <c:pt idx="38">
                  <c:v>2.53333346E-2</c:v>
                </c:pt>
                <c:pt idx="39">
                  <c:v>2.6000001299999999E-2</c:v>
                </c:pt>
                <c:pt idx="40">
                  <c:v>2.6666668000000001E-2</c:v>
                </c:pt>
                <c:pt idx="41">
                  <c:v>2.73333347E-2</c:v>
                </c:pt>
                <c:pt idx="42">
                  <c:v>2.8000001399999998E-2</c:v>
                </c:pt>
                <c:pt idx="43">
                  <c:v>2.8666668100000001E-2</c:v>
                </c:pt>
                <c:pt idx="44">
                  <c:v>2.9333334799999999E-2</c:v>
                </c:pt>
                <c:pt idx="45">
                  <c:v>3.0000001500000002E-2</c:v>
                </c:pt>
                <c:pt idx="46">
                  <c:v>3.06666682E-2</c:v>
                </c:pt>
                <c:pt idx="47">
                  <c:v>3.1333334900000002E-2</c:v>
                </c:pt>
                <c:pt idx="48">
                  <c:v>3.2000001600000001E-2</c:v>
                </c:pt>
                <c:pt idx="49">
                  <c:v>3.26666683E-2</c:v>
                </c:pt>
                <c:pt idx="50">
                  <c:v>3.3333334999999999E-2</c:v>
                </c:pt>
              </c:numCache>
            </c:numRef>
          </c:xVal>
          <c:yVal>
            <c:numRef>
              <c:f>'2 Ohm'!$F$3:$F$53</c:f>
              <c:numCache>
                <c:formatCode>0</c:formatCode>
                <c:ptCount val="51"/>
                <c:pt idx="0">
                  <c:v>1.15019757581E-11</c:v>
                </c:pt>
                <c:pt idx="1">
                  <c:v>0.99002148383400002</c:v>
                </c:pt>
                <c:pt idx="2">
                  <c:v>15.077678995199999</c:v>
                </c:pt>
                <c:pt idx="3">
                  <c:v>56.084398844500001</c:v>
                </c:pt>
                <c:pt idx="4">
                  <c:v>83.083465728999997</c:v>
                </c:pt>
                <c:pt idx="5">
                  <c:v>33.110750883500003</c:v>
                </c:pt>
                <c:pt idx="6">
                  <c:v>38.891722062699998</c:v>
                </c:pt>
                <c:pt idx="7">
                  <c:v>556.59097487899999</c:v>
                </c:pt>
                <c:pt idx="8">
                  <c:v>2287.69011237</c:v>
                </c:pt>
                <c:pt idx="9">
                  <c:v>5430.7270213399997</c:v>
                </c:pt>
                <c:pt idx="10">
                  <c:v>9261.9042989400004</c:v>
                </c:pt>
                <c:pt idx="11">
                  <c:v>12814.1523796</c:v>
                </c:pt>
                <c:pt idx="12">
                  <c:v>15554.245068800001</c:v>
                </c:pt>
                <c:pt idx="13">
                  <c:v>17196.076301000001</c:v>
                </c:pt>
                <c:pt idx="14">
                  <c:v>17675.293066900002</c:v>
                </c:pt>
                <c:pt idx="15">
                  <c:v>17220.151068800002</c:v>
                </c:pt>
                <c:pt idx="16">
                  <c:v>16207.758753300001</c:v>
                </c:pt>
                <c:pt idx="17">
                  <c:v>14722.440949899999</c:v>
                </c:pt>
                <c:pt idx="18">
                  <c:v>12427.723758300001</c:v>
                </c:pt>
                <c:pt idx="19">
                  <c:v>9278.2810248900005</c:v>
                </c:pt>
                <c:pt idx="20">
                  <c:v>5850.4289152700003</c:v>
                </c:pt>
                <c:pt idx="21">
                  <c:v>2994.0625651800001</c:v>
                </c:pt>
                <c:pt idx="22">
                  <c:v>1224.22212762</c:v>
                </c:pt>
                <c:pt idx="23">
                  <c:v>395.92467706899998</c:v>
                </c:pt>
                <c:pt idx="24">
                  <c:v>99.873008657200003</c:v>
                </c:pt>
                <c:pt idx="25">
                  <c:v>22.1731894409</c:v>
                </c:pt>
                <c:pt idx="26">
                  <c:v>11.0223168813</c:v>
                </c:pt>
                <c:pt idx="27">
                  <c:v>24.025155002999998</c:v>
                </c:pt>
                <c:pt idx="28">
                  <c:v>55.228498596199998</c:v>
                </c:pt>
                <c:pt idx="29">
                  <c:v>70.8134511473</c:v>
                </c:pt>
                <c:pt idx="30">
                  <c:v>30.731493134099999</c:v>
                </c:pt>
                <c:pt idx="31">
                  <c:v>36.400984604199998</c:v>
                </c:pt>
                <c:pt idx="32">
                  <c:v>562.89240563800001</c:v>
                </c:pt>
                <c:pt idx="33">
                  <c:v>2312.4138242700001</c:v>
                </c:pt>
                <c:pt idx="34">
                  <c:v>5450.73826276</c:v>
                </c:pt>
                <c:pt idx="35">
                  <c:v>9261.8537606999998</c:v>
                </c:pt>
                <c:pt idx="36">
                  <c:v>12764.117683300001</c:v>
                </c:pt>
                <c:pt idx="37">
                  <c:v>15449.026992499999</c:v>
                </c:pt>
                <c:pt idx="38">
                  <c:v>17093.446958199998</c:v>
                </c:pt>
                <c:pt idx="39">
                  <c:v>17596.8784619</c:v>
                </c:pt>
                <c:pt idx="40">
                  <c:v>17193.485313599998</c:v>
                </c:pt>
                <c:pt idx="41">
                  <c:v>16220.6384196</c:v>
                </c:pt>
                <c:pt idx="42">
                  <c:v>14766.432398499999</c:v>
                </c:pt>
                <c:pt idx="43">
                  <c:v>12421.6841518</c:v>
                </c:pt>
                <c:pt idx="44">
                  <c:v>9168.0127319500007</c:v>
                </c:pt>
                <c:pt idx="45">
                  <c:v>5899.5602714099996</c:v>
                </c:pt>
                <c:pt idx="46">
                  <c:v>3119.4367588599998</c:v>
                </c:pt>
                <c:pt idx="47">
                  <c:v>1243.13350629</c:v>
                </c:pt>
                <c:pt idx="48">
                  <c:v>375.67283200100002</c:v>
                </c:pt>
                <c:pt idx="49">
                  <c:v>81.480258265399996</c:v>
                </c:pt>
                <c:pt idx="50">
                  <c:v>6.2494044451399997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22A-41AF-AC84-97A41CA88B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908591"/>
        <c:axId val="1055658080"/>
      </c:scatterChart>
      <c:valAx>
        <c:axId val="1043908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658080"/>
        <c:crosses val="autoZero"/>
        <c:crossBetween val="midCat"/>
      </c:valAx>
      <c:valAx>
        <c:axId val="105565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Voltage [V]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908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Torque [Nm]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Torque [Nm]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 Ohm'!$B$3:$B$103</c:f>
              <c:numCache>
                <c:formatCode>General</c:formatCode>
                <c:ptCount val="101"/>
                <c:pt idx="0">
                  <c:v>0</c:v>
                </c:pt>
                <c:pt idx="1">
                  <c:v>6.6666670000000003E-4</c:v>
                </c:pt>
                <c:pt idx="2">
                  <c:v>1.3333334000000001E-3</c:v>
                </c:pt>
                <c:pt idx="3">
                  <c:v>2.0000001000000001E-3</c:v>
                </c:pt>
                <c:pt idx="4">
                  <c:v>2.6666668000000001E-3</c:v>
                </c:pt>
                <c:pt idx="5">
                  <c:v>3.3333335000000001E-3</c:v>
                </c:pt>
                <c:pt idx="6">
                  <c:v>4.0000002000000002E-3</c:v>
                </c:pt>
                <c:pt idx="7">
                  <c:v>4.6666668999999997E-3</c:v>
                </c:pt>
                <c:pt idx="8">
                  <c:v>5.3333336000000002E-3</c:v>
                </c:pt>
                <c:pt idx="9">
                  <c:v>6.0000002999999998E-3</c:v>
                </c:pt>
                <c:pt idx="10">
                  <c:v>6.6666670000000003E-3</c:v>
                </c:pt>
                <c:pt idx="11">
                  <c:v>7.3333336999999998E-3</c:v>
                </c:pt>
                <c:pt idx="12">
                  <c:v>8.0000004000000003E-3</c:v>
                </c:pt>
                <c:pt idx="13">
                  <c:v>8.6666671000000008E-3</c:v>
                </c:pt>
                <c:pt idx="14">
                  <c:v>9.3333337999999995E-3</c:v>
                </c:pt>
                <c:pt idx="15">
                  <c:v>1.00000005E-2</c:v>
                </c:pt>
                <c:pt idx="16">
                  <c:v>1.06666672E-2</c:v>
                </c:pt>
                <c:pt idx="17">
                  <c:v>1.1333333900000001E-2</c:v>
                </c:pt>
                <c:pt idx="18">
                  <c:v>1.20000006E-2</c:v>
                </c:pt>
                <c:pt idx="19">
                  <c:v>1.26666673E-2</c:v>
                </c:pt>
                <c:pt idx="20">
                  <c:v>1.3333334000000001E-2</c:v>
                </c:pt>
                <c:pt idx="21">
                  <c:v>1.4000000699999999E-2</c:v>
                </c:pt>
                <c:pt idx="22">
                  <c:v>1.46666674E-2</c:v>
                </c:pt>
                <c:pt idx="23">
                  <c:v>1.53333341E-2</c:v>
                </c:pt>
                <c:pt idx="24">
                  <c:v>1.6000000800000001E-2</c:v>
                </c:pt>
                <c:pt idx="25">
                  <c:v>1.6666667499999999E-2</c:v>
                </c:pt>
                <c:pt idx="26">
                  <c:v>1.7333334200000002E-2</c:v>
                </c:pt>
                <c:pt idx="27">
                  <c:v>1.80000009E-2</c:v>
                </c:pt>
                <c:pt idx="28">
                  <c:v>1.8666667599999999E-2</c:v>
                </c:pt>
                <c:pt idx="29">
                  <c:v>1.9333334300000001E-2</c:v>
                </c:pt>
                <c:pt idx="30">
                  <c:v>2.0000001E-2</c:v>
                </c:pt>
                <c:pt idx="31">
                  <c:v>2.0666667699999999E-2</c:v>
                </c:pt>
                <c:pt idx="32">
                  <c:v>2.1333334400000001E-2</c:v>
                </c:pt>
                <c:pt idx="33">
                  <c:v>2.20000011E-2</c:v>
                </c:pt>
                <c:pt idx="34">
                  <c:v>2.2666667800000002E-2</c:v>
                </c:pt>
                <c:pt idx="35">
                  <c:v>2.33333345E-2</c:v>
                </c:pt>
                <c:pt idx="36">
                  <c:v>2.4000001199999999E-2</c:v>
                </c:pt>
                <c:pt idx="37">
                  <c:v>2.4666667900000001E-2</c:v>
                </c:pt>
                <c:pt idx="38">
                  <c:v>2.53333346E-2</c:v>
                </c:pt>
                <c:pt idx="39">
                  <c:v>2.6000001299999999E-2</c:v>
                </c:pt>
                <c:pt idx="40">
                  <c:v>2.6666668000000001E-2</c:v>
                </c:pt>
                <c:pt idx="41">
                  <c:v>2.73333347E-2</c:v>
                </c:pt>
                <c:pt idx="42">
                  <c:v>2.8000001399999998E-2</c:v>
                </c:pt>
                <c:pt idx="43">
                  <c:v>2.8666668100000001E-2</c:v>
                </c:pt>
                <c:pt idx="44">
                  <c:v>2.9333334799999999E-2</c:v>
                </c:pt>
                <c:pt idx="45">
                  <c:v>3.0000001500000002E-2</c:v>
                </c:pt>
                <c:pt idx="46">
                  <c:v>3.06666682E-2</c:v>
                </c:pt>
                <c:pt idx="47">
                  <c:v>3.1333334900000002E-2</c:v>
                </c:pt>
                <c:pt idx="48">
                  <c:v>3.2000001600000001E-2</c:v>
                </c:pt>
                <c:pt idx="49">
                  <c:v>3.26666683E-2</c:v>
                </c:pt>
                <c:pt idx="50">
                  <c:v>3.3333334999999999E-2</c:v>
                </c:pt>
                <c:pt idx="51">
                  <c:v>3.4000001699999997E-2</c:v>
                </c:pt>
                <c:pt idx="52">
                  <c:v>3.4666668400000003E-2</c:v>
                </c:pt>
                <c:pt idx="53">
                  <c:v>3.5333335100000002E-2</c:v>
                </c:pt>
                <c:pt idx="54">
                  <c:v>3.60000018E-2</c:v>
                </c:pt>
                <c:pt idx="55">
                  <c:v>3.6666668499999999E-2</c:v>
                </c:pt>
                <c:pt idx="56">
                  <c:v>3.7333335199999998E-2</c:v>
                </c:pt>
                <c:pt idx="57">
                  <c:v>3.8000001899999997E-2</c:v>
                </c:pt>
                <c:pt idx="58">
                  <c:v>3.8666668600000002E-2</c:v>
                </c:pt>
                <c:pt idx="59">
                  <c:v>3.9333335300000001E-2</c:v>
                </c:pt>
                <c:pt idx="60">
                  <c:v>4.0000002E-2</c:v>
                </c:pt>
                <c:pt idx="61">
                  <c:v>4.0666668699999999E-2</c:v>
                </c:pt>
                <c:pt idx="62">
                  <c:v>4.1333335399999997E-2</c:v>
                </c:pt>
                <c:pt idx="63">
                  <c:v>4.2000002100000003E-2</c:v>
                </c:pt>
                <c:pt idx="64">
                  <c:v>4.2666668800000002E-2</c:v>
                </c:pt>
                <c:pt idx="65">
                  <c:v>4.33333355E-2</c:v>
                </c:pt>
                <c:pt idx="66">
                  <c:v>4.4000002199999999E-2</c:v>
                </c:pt>
                <c:pt idx="67">
                  <c:v>4.4666668899999998E-2</c:v>
                </c:pt>
                <c:pt idx="68">
                  <c:v>4.5333335600000003E-2</c:v>
                </c:pt>
                <c:pt idx="69">
                  <c:v>4.6000002300000002E-2</c:v>
                </c:pt>
                <c:pt idx="70">
                  <c:v>4.6666669000000001E-2</c:v>
                </c:pt>
                <c:pt idx="71">
                  <c:v>4.73333357E-2</c:v>
                </c:pt>
                <c:pt idx="72">
                  <c:v>4.8000002399999998E-2</c:v>
                </c:pt>
                <c:pt idx="73">
                  <c:v>4.8666669099999997E-2</c:v>
                </c:pt>
                <c:pt idx="74">
                  <c:v>4.9333335800000003E-2</c:v>
                </c:pt>
                <c:pt idx="75">
                  <c:v>5.0000002500000001E-2</c:v>
                </c:pt>
                <c:pt idx="76">
                  <c:v>5.06666692E-2</c:v>
                </c:pt>
                <c:pt idx="77">
                  <c:v>5.1333335899999999E-2</c:v>
                </c:pt>
                <c:pt idx="78">
                  <c:v>5.2000002599999998E-2</c:v>
                </c:pt>
                <c:pt idx="79">
                  <c:v>5.2666669300000003E-2</c:v>
                </c:pt>
                <c:pt idx="80">
                  <c:v>5.3333336000000002E-2</c:v>
                </c:pt>
                <c:pt idx="81">
                  <c:v>5.4000002700000001E-2</c:v>
                </c:pt>
                <c:pt idx="82">
                  <c:v>5.4666669399999999E-2</c:v>
                </c:pt>
                <c:pt idx="83">
                  <c:v>5.5333336099999998E-2</c:v>
                </c:pt>
                <c:pt idx="84">
                  <c:v>5.6000002799999997E-2</c:v>
                </c:pt>
                <c:pt idx="85">
                  <c:v>5.6666669500000003E-2</c:v>
                </c:pt>
                <c:pt idx="86">
                  <c:v>5.7333336200000001E-2</c:v>
                </c:pt>
                <c:pt idx="87">
                  <c:v>5.80000029E-2</c:v>
                </c:pt>
                <c:pt idx="88">
                  <c:v>5.8666669599999999E-2</c:v>
                </c:pt>
                <c:pt idx="89">
                  <c:v>5.9333336299999997E-2</c:v>
                </c:pt>
                <c:pt idx="90">
                  <c:v>6.0000003000000003E-2</c:v>
                </c:pt>
                <c:pt idx="91">
                  <c:v>6.0666669700000002E-2</c:v>
                </c:pt>
                <c:pt idx="92">
                  <c:v>6.1333336400000001E-2</c:v>
                </c:pt>
                <c:pt idx="93">
                  <c:v>6.2000003099999999E-2</c:v>
                </c:pt>
                <c:pt idx="94">
                  <c:v>6.2666669800000005E-2</c:v>
                </c:pt>
                <c:pt idx="95">
                  <c:v>6.3333336500000004E-2</c:v>
                </c:pt>
                <c:pt idx="96">
                  <c:v>6.4000003200000002E-2</c:v>
                </c:pt>
                <c:pt idx="97">
                  <c:v>6.4666669900000001E-2</c:v>
                </c:pt>
                <c:pt idx="98">
                  <c:v>6.53333366E-2</c:v>
                </c:pt>
                <c:pt idx="99">
                  <c:v>6.6000003299999999E-2</c:v>
                </c:pt>
                <c:pt idx="100">
                  <c:v>6.6666669999999997E-2</c:v>
                </c:pt>
              </c:numCache>
            </c:numRef>
          </c:xVal>
          <c:yVal>
            <c:numRef>
              <c:f>'1 Ohm'!$D$3:$D$103</c:f>
              <c:numCache>
                <c:formatCode>0.0</c:formatCode>
                <c:ptCount val="101"/>
                <c:pt idx="0">
                  <c:v>-512.664896043</c:v>
                </c:pt>
                <c:pt idx="1">
                  <c:v>-488.778961213</c:v>
                </c:pt>
                <c:pt idx="2">
                  <c:v>-412.41193856799998</c:v>
                </c:pt>
                <c:pt idx="3">
                  <c:v>-264.54807571999999</c:v>
                </c:pt>
                <c:pt idx="4">
                  <c:v>-14.407910019499999</c:v>
                </c:pt>
                <c:pt idx="5">
                  <c:v>311.878109817</c:v>
                </c:pt>
                <c:pt idx="6">
                  <c:v>615.85756182600005</c:v>
                </c:pt>
                <c:pt idx="7">
                  <c:v>782.02812674799998</c:v>
                </c:pt>
                <c:pt idx="8">
                  <c:v>856.72143134400005</c:v>
                </c:pt>
                <c:pt idx="9">
                  <c:v>930.66551239700004</c:v>
                </c:pt>
                <c:pt idx="10">
                  <c:v>1028.6184671799999</c:v>
                </c:pt>
                <c:pt idx="11">
                  <c:v>1114.2807857400001</c:v>
                </c:pt>
                <c:pt idx="12">
                  <c:v>1148.2721272599999</c:v>
                </c:pt>
                <c:pt idx="13">
                  <c:v>1112.66347518</c:v>
                </c:pt>
                <c:pt idx="14">
                  <c:v>989.08670208299998</c:v>
                </c:pt>
                <c:pt idx="15">
                  <c:v>788.47905855399995</c:v>
                </c:pt>
                <c:pt idx="16">
                  <c:v>524.43379054900004</c:v>
                </c:pt>
                <c:pt idx="17">
                  <c:v>226.754973613</c:v>
                </c:pt>
                <c:pt idx="18">
                  <c:v>4.9061034374599997</c:v>
                </c:pt>
                <c:pt idx="19">
                  <c:v>-67.632842043799997</c:v>
                </c:pt>
                <c:pt idx="20">
                  <c:v>-3.3373371078599998</c:v>
                </c:pt>
                <c:pt idx="21">
                  <c:v>116.947764838</c:v>
                </c:pt>
                <c:pt idx="22">
                  <c:v>243.24250702200001</c:v>
                </c:pt>
                <c:pt idx="23">
                  <c:v>343.701638812</c:v>
                </c:pt>
                <c:pt idx="24">
                  <c:v>412.71147521500001</c:v>
                </c:pt>
                <c:pt idx="25">
                  <c:v>450.86350391799999</c:v>
                </c:pt>
                <c:pt idx="26">
                  <c:v>451.08185061900002</c:v>
                </c:pt>
                <c:pt idx="27">
                  <c:v>398.543404614</c:v>
                </c:pt>
                <c:pt idx="28">
                  <c:v>268.79563185299997</c:v>
                </c:pt>
                <c:pt idx="29">
                  <c:v>39.593746408800001</c:v>
                </c:pt>
                <c:pt idx="30">
                  <c:v>-268.21019250500001</c:v>
                </c:pt>
                <c:pt idx="31">
                  <c:v>-553.69589672899997</c:v>
                </c:pt>
                <c:pt idx="32">
                  <c:v>-721.05023399499999</c:v>
                </c:pt>
                <c:pt idx="33">
                  <c:v>-797.05729055999996</c:v>
                </c:pt>
                <c:pt idx="34">
                  <c:v>-882.65020827399997</c:v>
                </c:pt>
                <c:pt idx="35">
                  <c:v>-997.65667535499995</c:v>
                </c:pt>
                <c:pt idx="36">
                  <c:v>-1101.41428494</c:v>
                </c:pt>
                <c:pt idx="37">
                  <c:v>-1139.75448127</c:v>
                </c:pt>
                <c:pt idx="38">
                  <c:v>-1097.04198219</c:v>
                </c:pt>
                <c:pt idx="39">
                  <c:v>-968.44250062100002</c:v>
                </c:pt>
                <c:pt idx="40">
                  <c:v>-760.39824592399998</c:v>
                </c:pt>
                <c:pt idx="41">
                  <c:v>-490.37769427699999</c:v>
                </c:pt>
                <c:pt idx="42">
                  <c:v>-189.85341287899999</c:v>
                </c:pt>
                <c:pt idx="43">
                  <c:v>40.571655452100003</c:v>
                </c:pt>
                <c:pt idx="44">
                  <c:v>101.178635422</c:v>
                </c:pt>
                <c:pt idx="45">
                  <c:v>30.841175991499998</c:v>
                </c:pt>
                <c:pt idx="46">
                  <c:v>-91.676799381099997</c:v>
                </c:pt>
                <c:pt idx="47">
                  <c:v>-213.39575297299999</c:v>
                </c:pt>
                <c:pt idx="48">
                  <c:v>-312.95438208299998</c:v>
                </c:pt>
                <c:pt idx="49">
                  <c:v>-382.53257491400001</c:v>
                </c:pt>
                <c:pt idx="50">
                  <c:v>-362.89433811999999</c:v>
                </c:pt>
                <c:pt idx="51" formatCode="0.00">
                  <c:v>-416.86060292299999</c:v>
                </c:pt>
                <c:pt idx="52" formatCode="0.00">
                  <c:v>-365.02337646299998</c:v>
                </c:pt>
                <c:pt idx="53" formatCode="0.00">
                  <c:v>-241.13901246899999</c:v>
                </c:pt>
                <c:pt idx="54" formatCode="0.00">
                  <c:v>-12.812747247200001</c:v>
                </c:pt>
                <c:pt idx="55" formatCode="0.00">
                  <c:v>297.48638387300002</c:v>
                </c:pt>
                <c:pt idx="56" formatCode="0.00">
                  <c:v>590.74501649800004</c:v>
                </c:pt>
                <c:pt idx="57" formatCode="0.00">
                  <c:v>751.0736905</c:v>
                </c:pt>
                <c:pt idx="58" formatCode="0.00">
                  <c:v>824.55074269500005</c:v>
                </c:pt>
                <c:pt idx="59" formatCode="0.00">
                  <c:v>901.39634341099998</c:v>
                </c:pt>
                <c:pt idx="60" formatCode="0.00">
                  <c:v>1003.96173718</c:v>
                </c:pt>
                <c:pt idx="61" formatCode="0.00">
                  <c:v>1094.0543530800001</c:v>
                </c:pt>
                <c:pt idx="62" formatCode="0.00">
                  <c:v>1132.1697704400001</c:v>
                </c:pt>
                <c:pt idx="63" formatCode="0.00">
                  <c:v>1100.3036290299999</c:v>
                </c:pt>
                <c:pt idx="64" formatCode="0.00">
                  <c:v>979.83109830399997</c:v>
                </c:pt>
                <c:pt idx="65" formatCode="0.00">
                  <c:v>781.615025726</c:v>
                </c:pt>
                <c:pt idx="66" formatCode="0.00">
                  <c:v>519.25507362400003</c:v>
                </c:pt>
                <c:pt idx="67" formatCode="0.00">
                  <c:v>223.00630244999999</c:v>
                </c:pt>
                <c:pt idx="68" formatCode="0.00">
                  <c:v>2.6692531659599998</c:v>
                </c:pt>
                <c:pt idx="69" formatCode="0.00">
                  <c:v>-68.605956727000006</c:v>
                </c:pt>
                <c:pt idx="70" formatCode="0.00">
                  <c:v>-3.43809497646</c:v>
                </c:pt>
                <c:pt idx="71" formatCode="0.00">
                  <c:v>117.374172464</c:v>
                </c:pt>
                <c:pt idx="72" formatCode="0.00">
                  <c:v>243.93073821300001</c:v>
                </c:pt>
                <c:pt idx="73" formatCode="0.00">
                  <c:v>344.42780138199998</c:v>
                </c:pt>
                <c:pt idx="74" formatCode="0.00">
                  <c:v>413.372101929</c:v>
                </c:pt>
                <c:pt idx="75" formatCode="0.00">
                  <c:v>448.340614227</c:v>
                </c:pt>
                <c:pt idx="76" formatCode="0.00">
                  <c:v>451.19670676099997</c:v>
                </c:pt>
                <c:pt idx="77" formatCode="0.00">
                  <c:v>398.61758127600001</c:v>
                </c:pt>
                <c:pt idx="78" formatCode="0.00">
                  <c:v>268.82927225600002</c:v>
                </c:pt>
                <c:pt idx="79" formatCode="0.00">
                  <c:v>39.591527527499998</c:v>
                </c:pt>
                <c:pt idx="80" formatCode="0.00">
                  <c:v>-268.25261506099997</c:v>
                </c:pt>
                <c:pt idx="81" formatCode="0.00">
                  <c:v>-553.74493436700004</c:v>
                </c:pt>
                <c:pt idx="82" formatCode="0.00">
                  <c:v>-721.10326148599995</c:v>
                </c:pt>
                <c:pt idx="83" formatCode="0.00">
                  <c:v>-797.11029229200005</c:v>
                </c:pt>
                <c:pt idx="84" formatCode="0.00">
                  <c:v>-882.69982879999998</c:v>
                </c:pt>
                <c:pt idx="85" formatCode="0.00">
                  <c:v>-997.699033794</c:v>
                </c:pt>
                <c:pt idx="86" formatCode="0.00">
                  <c:v>-1101.4487853000001</c:v>
                </c:pt>
                <c:pt idx="87" formatCode="0.00">
                  <c:v>-1139.7806743599999</c:v>
                </c:pt>
                <c:pt idx="88" formatCode="0.00">
                  <c:v>-1097.05877317</c:v>
                </c:pt>
                <c:pt idx="89" formatCode="0.00">
                  <c:v>-968.45134056699999</c:v>
                </c:pt>
                <c:pt idx="90" formatCode="0.00">
                  <c:v>-760.40149770100004</c:v>
                </c:pt>
                <c:pt idx="91" formatCode="0.00">
                  <c:v>-490.37421310500002</c:v>
                </c:pt>
                <c:pt idx="92" formatCode="0.00">
                  <c:v>-189.851057508</c:v>
                </c:pt>
                <c:pt idx="93" formatCode="0.00">
                  <c:v>40.572558485400002</c:v>
                </c:pt>
                <c:pt idx="94" formatCode="0.00">
                  <c:v>101.176663846</c:v>
                </c:pt>
                <c:pt idx="95" formatCode="0.00">
                  <c:v>30.838698093800001</c:v>
                </c:pt>
                <c:pt idx="96" formatCode="0.00">
                  <c:v>-91.678471067900006</c:v>
                </c:pt>
                <c:pt idx="97" formatCode="0.00">
                  <c:v>-213.39591005299999</c:v>
                </c:pt>
                <c:pt idx="98" formatCode="0.00">
                  <c:v>-312.95292181100001</c:v>
                </c:pt>
                <c:pt idx="99" formatCode="0.00">
                  <c:v>-382.53013621999997</c:v>
                </c:pt>
                <c:pt idx="100" formatCode="0.00">
                  <c:v>-370.57092005999999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E7F-484B-87C1-C95AF90555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908591"/>
        <c:axId val="1055658080"/>
      </c:scatterChart>
      <c:valAx>
        <c:axId val="1043908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[s]</a:t>
                </a:r>
              </a:p>
            </c:rich>
          </c:tx>
          <c:layout>
            <c:manualLayout>
              <c:xMode val="edge"/>
              <c:yMode val="edge"/>
              <c:x val="0.48709277802285461"/>
              <c:y val="0.866348554929919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658080"/>
        <c:crosses val="autoZero"/>
        <c:crossBetween val="midCat"/>
      </c:valAx>
      <c:valAx>
        <c:axId val="105565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Torque [Nm]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908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Voltage [V]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Voltage [V]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 Ohm'!$B$3:$B$103</c:f>
              <c:numCache>
                <c:formatCode>General</c:formatCode>
                <c:ptCount val="101"/>
                <c:pt idx="0">
                  <c:v>0</c:v>
                </c:pt>
                <c:pt idx="1">
                  <c:v>6.6666670000000003E-4</c:v>
                </c:pt>
                <c:pt idx="2">
                  <c:v>1.3333334000000001E-3</c:v>
                </c:pt>
                <c:pt idx="3">
                  <c:v>2.0000001000000001E-3</c:v>
                </c:pt>
                <c:pt idx="4">
                  <c:v>2.6666668000000001E-3</c:v>
                </c:pt>
                <c:pt idx="5">
                  <c:v>3.3333335000000001E-3</c:v>
                </c:pt>
                <c:pt idx="6">
                  <c:v>4.0000002000000002E-3</c:v>
                </c:pt>
                <c:pt idx="7">
                  <c:v>4.6666668999999997E-3</c:v>
                </c:pt>
                <c:pt idx="8">
                  <c:v>5.3333336000000002E-3</c:v>
                </c:pt>
                <c:pt idx="9">
                  <c:v>6.0000002999999998E-3</c:v>
                </c:pt>
                <c:pt idx="10">
                  <c:v>6.6666670000000003E-3</c:v>
                </c:pt>
                <c:pt idx="11">
                  <c:v>7.3333336999999998E-3</c:v>
                </c:pt>
                <c:pt idx="12">
                  <c:v>8.0000004000000003E-3</c:v>
                </c:pt>
                <c:pt idx="13">
                  <c:v>8.6666671000000008E-3</c:v>
                </c:pt>
                <c:pt idx="14">
                  <c:v>9.3333337999999995E-3</c:v>
                </c:pt>
                <c:pt idx="15">
                  <c:v>1.00000005E-2</c:v>
                </c:pt>
                <c:pt idx="16">
                  <c:v>1.06666672E-2</c:v>
                </c:pt>
                <c:pt idx="17">
                  <c:v>1.1333333900000001E-2</c:v>
                </c:pt>
                <c:pt idx="18">
                  <c:v>1.20000006E-2</c:v>
                </c:pt>
                <c:pt idx="19">
                  <c:v>1.26666673E-2</c:v>
                </c:pt>
                <c:pt idx="20">
                  <c:v>1.3333334000000001E-2</c:v>
                </c:pt>
                <c:pt idx="21">
                  <c:v>1.4000000699999999E-2</c:v>
                </c:pt>
                <c:pt idx="22">
                  <c:v>1.46666674E-2</c:v>
                </c:pt>
                <c:pt idx="23">
                  <c:v>1.53333341E-2</c:v>
                </c:pt>
                <c:pt idx="24">
                  <c:v>1.6000000800000001E-2</c:v>
                </c:pt>
                <c:pt idx="25">
                  <c:v>1.6666667499999999E-2</c:v>
                </c:pt>
                <c:pt idx="26">
                  <c:v>1.7333334200000002E-2</c:v>
                </c:pt>
                <c:pt idx="27">
                  <c:v>1.80000009E-2</c:v>
                </c:pt>
                <c:pt idx="28">
                  <c:v>1.8666667599999999E-2</c:v>
                </c:pt>
                <c:pt idx="29">
                  <c:v>1.9333334300000001E-2</c:v>
                </c:pt>
                <c:pt idx="30">
                  <c:v>2.0000001E-2</c:v>
                </c:pt>
                <c:pt idx="31">
                  <c:v>2.0666667699999999E-2</c:v>
                </c:pt>
                <c:pt idx="32">
                  <c:v>2.1333334400000001E-2</c:v>
                </c:pt>
                <c:pt idx="33">
                  <c:v>2.20000011E-2</c:v>
                </c:pt>
                <c:pt idx="34">
                  <c:v>2.2666667800000002E-2</c:v>
                </c:pt>
                <c:pt idx="35">
                  <c:v>2.33333345E-2</c:v>
                </c:pt>
                <c:pt idx="36">
                  <c:v>2.4000001199999999E-2</c:v>
                </c:pt>
                <c:pt idx="37">
                  <c:v>2.4666667900000001E-2</c:v>
                </c:pt>
                <c:pt idx="38">
                  <c:v>2.53333346E-2</c:v>
                </c:pt>
                <c:pt idx="39">
                  <c:v>2.6000001299999999E-2</c:v>
                </c:pt>
                <c:pt idx="40">
                  <c:v>2.6666668000000001E-2</c:v>
                </c:pt>
                <c:pt idx="41">
                  <c:v>2.73333347E-2</c:v>
                </c:pt>
                <c:pt idx="42">
                  <c:v>2.8000001399999998E-2</c:v>
                </c:pt>
                <c:pt idx="43">
                  <c:v>2.8666668100000001E-2</c:v>
                </c:pt>
                <c:pt idx="44">
                  <c:v>2.9333334799999999E-2</c:v>
                </c:pt>
                <c:pt idx="45">
                  <c:v>3.0000001500000002E-2</c:v>
                </c:pt>
                <c:pt idx="46">
                  <c:v>3.06666682E-2</c:v>
                </c:pt>
                <c:pt idx="47">
                  <c:v>3.1333334900000002E-2</c:v>
                </c:pt>
                <c:pt idx="48">
                  <c:v>3.2000001600000001E-2</c:v>
                </c:pt>
                <c:pt idx="49">
                  <c:v>3.26666683E-2</c:v>
                </c:pt>
                <c:pt idx="50">
                  <c:v>3.3333334999999999E-2</c:v>
                </c:pt>
                <c:pt idx="51">
                  <c:v>3.4000001699999997E-2</c:v>
                </c:pt>
                <c:pt idx="52">
                  <c:v>3.4666668400000003E-2</c:v>
                </c:pt>
                <c:pt idx="53">
                  <c:v>3.5333335100000002E-2</c:v>
                </c:pt>
                <c:pt idx="54">
                  <c:v>3.60000018E-2</c:v>
                </c:pt>
                <c:pt idx="55">
                  <c:v>3.6666668499999999E-2</c:v>
                </c:pt>
                <c:pt idx="56">
                  <c:v>3.7333335199999998E-2</c:v>
                </c:pt>
                <c:pt idx="57">
                  <c:v>3.8000001899999997E-2</c:v>
                </c:pt>
                <c:pt idx="58">
                  <c:v>3.8666668600000002E-2</c:v>
                </c:pt>
                <c:pt idx="59">
                  <c:v>3.9333335300000001E-2</c:v>
                </c:pt>
                <c:pt idx="60">
                  <c:v>4.0000002E-2</c:v>
                </c:pt>
                <c:pt idx="61">
                  <c:v>4.0666668699999999E-2</c:v>
                </c:pt>
                <c:pt idx="62">
                  <c:v>4.1333335399999997E-2</c:v>
                </c:pt>
                <c:pt idx="63">
                  <c:v>4.2000002100000003E-2</c:v>
                </c:pt>
                <c:pt idx="64">
                  <c:v>4.2666668800000002E-2</c:v>
                </c:pt>
                <c:pt idx="65">
                  <c:v>4.33333355E-2</c:v>
                </c:pt>
                <c:pt idx="66">
                  <c:v>4.4000002199999999E-2</c:v>
                </c:pt>
                <c:pt idx="67">
                  <c:v>4.4666668899999998E-2</c:v>
                </c:pt>
                <c:pt idx="68">
                  <c:v>4.5333335600000003E-2</c:v>
                </c:pt>
                <c:pt idx="69">
                  <c:v>4.6000002300000002E-2</c:v>
                </c:pt>
                <c:pt idx="70">
                  <c:v>4.6666669000000001E-2</c:v>
                </c:pt>
                <c:pt idx="71">
                  <c:v>4.73333357E-2</c:v>
                </c:pt>
                <c:pt idx="72">
                  <c:v>4.8000002399999998E-2</c:v>
                </c:pt>
                <c:pt idx="73">
                  <c:v>4.8666669099999997E-2</c:v>
                </c:pt>
                <c:pt idx="74">
                  <c:v>4.9333335800000003E-2</c:v>
                </c:pt>
                <c:pt idx="75">
                  <c:v>5.0000002500000001E-2</c:v>
                </c:pt>
                <c:pt idx="76">
                  <c:v>5.06666692E-2</c:v>
                </c:pt>
                <c:pt idx="77">
                  <c:v>5.1333335899999999E-2</c:v>
                </c:pt>
                <c:pt idx="78">
                  <c:v>5.2000002599999998E-2</c:v>
                </c:pt>
                <c:pt idx="79">
                  <c:v>5.2666669300000003E-2</c:v>
                </c:pt>
                <c:pt idx="80">
                  <c:v>5.3333336000000002E-2</c:v>
                </c:pt>
                <c:pt idx="81">
                  <c:v>5.4000002700000001E-2</c:v>
                </c:pt>
                <c:pt idx="82">
                  <c:v>5.4666669399999999E-2</c:v>
                </c:pt>
                <c:pt idx="83">
                  <c:v>5.5333336099999998E-2</c:v>
                </c:pt>
                <c:pt idx="84">
                  <c:v>5.6000002799999997E-2</c:v>
                </c:pt>
                <c:pt idx="85">
                  <c:v>5.6666669500000003E-2</c:v>
                </c:pt>
                <c:pt idx="86">
                  <c:v>5.7333336200000001E-2</c:v>
                </c:pt>
                <c:pt idx="87">
                  <c:v>5.80000029E-2</c:v>
                </c:pt>
                <c:pt idx="88">
                  <c:v>5.8666669599999999E-2</c:v>
                </c:pt>
                <c:pt idx="89">
                  <c:v>5.9333336299999997E-2</c:v>
                </c:pt>
                <c:pt idx="90">
                  <c:v>6.0000003000000003E-2</c:v>
                </c:pt>
                <c:pt idx="91">
                  <c:v>6.0666669700000002E-2</c:v>
                </c:pt>
                <c:pt idx="92">
                  <c:v>6.1333336400000001E-2</c:v>
                </c:pt>
                <c:pt idx="93">
                  <c:v>6.2000003099999999E-2</c:v>
                </c:pt>
                <c:pt idx="94">
                  <c:v>6.2666669800000005E-2</c:v>
                </c:pt>
                <c:pt idx="95">
                  <c:v>6.3333336500000004E-2</c:v>
                </c:pt>
                <c:pt idx="96">
                  <c:v>6.4000003200000002E-2</c:v>
                </c:pt>
                <c:pt idx="97">
                  <c:v>6.4666669900000001E-2</c:v>
                </c:pt>
                <c:pt idx="98">
                  <c:v>6.53333366E-2</c:v>
                </c:pt>
                <c:pt idx="99">
                  <c:v>6.6000003299999999E-2</c:v>
                </c:pt>
                <c:pt idx="100">
                  <c:v>6.6666669999999997E-2</c:v>
                </c:pt>
              </c:numCache>
            </c:numRef>
          </c:xVal>
          <c:yVal>
            <c:numRef>
              <c:f>'1 Ohm'!$E$3:$E$103</c:f>
              <c:numCache>
                <c:formatCode>0.0</c:formatCode>
                <c:ptCount val="101"/>
                <c:pt idx="0">
                  <c:v>1.89050346065E-6</c:v>
                </c:pt>
                <c:pt idx="1">
                  <c:v>-1.42892565786</c:v>
                </c:pt>
                <c:pt idx="2">
                  <c:v>-4.9000931302800002</c:v>
                </c:pt>
                <c:pt idx="3">
                  <c:v>-8.3392264216300003</c:v>
                </c:pt>
                <c:pt idx="4">
                  <c:v>-9.1114478308100004</c:v>
                </c:pt>
                <c:pt idx="5">
                  <c:v>-3.3515524238299998</c:v>
                </c:pt>
                <c:pt idx="6">
                  <c:v>7.88609831608</c:v>
                </c:pt>
                <c:pt idx="7">
                  <c:v>27.6541701694</c:v>
                </c:pt>
                <c:pt idx="8">
                  <c:v>52.1924058305</c:v>
                </c:pt>
                <c:pt idx="9">
                  <c:v>77.528215617300006</c:v>
                </c:pt>
                <c:pt idx="10">
                  <c:v>99.8235015777</c:v>
                </c:pt>
                <c:pt idx="11">
                  <c:v>117.823510046</c:v>
                </c:pt>
                <c:pt idx="12">
                  <c:v>131.52154687199999</c:v>
                </c:pt>
                <c:pt idx="13">
                  <c:v>140.621597006</c:v>
                </c:pt>
                <c:pt idx="14">
                  <c:v>145.18574136399999</c:v>
                </c:pt>
                <c:pt idx="15">
                  <c:v>145.700188682</c:v>
                </c:pt>
                <c:pt idx="16">
                  <c:v>143.94633155599999</c:v>
                </c:pt>
                <c:pt idx="17">
                  <c:v>140.17285500899999</c:v>
                </c:pt>
                <c:pt idx="18">
                  <c:v>132.631860413</c:v>
                </c:pt>
                <c:pt idx="19">
                  <c:v>120.18586299499999</c:v>
                </c:pt>
                <c:pt idx="20">
                  <c:v>103.276869065</c:v>
                </c:pt>
                <c:pt idx="21">
                  <c:v>84.386884521400006</c:v>
                </c:pt>
                <c:pt idx="22">
                  <c:v>65.850848859400003</c:v>
                </c:pt>
                <c:pt idx="23">
                  <c:v>49.956219900599997</c:v>
                </c:pt>
                <c:pt idx="24">
                  <c:v>37.840723612399998</c:v>
                </c:pt>
                <c:pt idx="25">
                  <c:v>29.578021754200002</c:v>
                </c:pt>
                <c:pt idx="26">
                  <c:v>25.017457545100001</c:v>
                </c:pt>
                <c:pt idx="27">
                  <c:v>23.333358818099999</c:v>
                </c:pt>
                <c:pt idx="28">
                  <c:v>22.5852670061</c:v>
                </c:pt>
                <c:pt idx="29">
                  <c:v>20.192360670799999</c:v>
                </c:pt>
                <c:pt idx="30">
                  <c:v>13.1372979192</c:v>
                </c:pt>
                <c:pt idx="31">
                  <c:v>-0.92117373371599998</c:v>
                </c:pt>
                <c:pt idx="32">
                  <c:v>-22.729296959700001</c:v>
                </c:pt>
                <c:pt idx="33">
                  <c:v>-48.476862269400002</c:v>
                </c:pt>
                <c:pt idx="34">
                  <c:v>-74.467665978200003</c:v>
                </c:pt>
                <c:pt idx="35">
                  <c:v>-97.227976754500006</c:v>
                </c:pt>
                <c:pt idx="36">
                  <c:v>-115.43671684</c:v>
                </c:pt>
                <c:pt idx="37">
                  <c:v>-129.329432586</c:v>
                </c:pt>
                <c:pt idx="38">
                  <c:v>-138.74947530399999</c:v>
                </c:pt>
                <c:pt idx="39">
                  <c:v>-143.56412008000001</c:v>
                </c:pt>
                <c:pt idx="40">
                  <c:v>-144.61175341000001</c:v>
                </c:pt>
                <c:pt idx="41">
                  <c:v>-143.06328108100001</c:v>
                </c:pt>
                <c:pt idx="42">
                  <c:v>-139.70770780300001</c:v>
                </c:pt>
                <c:pt idx="43">
                  <c:v>-131.79894037899999</c:v>
                </c:pt>
                <c:pt idx="44">
                  <c:v>-119.09005453899999</c:v>
                </c:pt>
                <c:pt idx="45">
                  <c:v>-104.235483176</c:v>
                </c:pt>
                <c:pt idx="46">
                  <c:v>-84.710269025499997</c:v>
                </c:pt>
                <c:pt idx="47">
                  <c:v>-65.591163142400006</c:v>
                </c:pt>
                <c:pt idx="48">
                  <c:v>-49.231196992000001</c:v>
                </c:pt>
                <c:pt idx="49">
                  <c:v>-36.789249024599997</c:v>
                </c:pt>
                <c:pt idx="50">
                  <c:v>-24.7015247621</c:v>
                </c:pt>
                <c:pt idx="51">
                  <c:v>-25.2234948465</c:v>
                </c:pt>
                <c:pt idx="52">
                  <c:v>-24.1512071541</c:v>
                </c:pt>
                <c:pt idx="53">
                  <c:v>-23.978731257</c:v>
                </c:pt>
                <c:pt idx="54">
                  <c:v>-21.847554298799999</c:v>
                </c:pt>
                <c:pt idx="55">
                  <c:v>-13.1360200206</c:v>
                </c:pt>
                <c:pt idx="56">
                  <c:v>0.50470362631200005</c:v>
                </c:pt>
                <c:pt idx="57">
                  <c:v>22.117329444999999</c:v>
                </c:pt>
                <c:pt idx="58">
                  <c:v>47.959739384199999</c:v>
                </c:pt>
                <c:pt idx="59">
                  <c:v>74.165181538900001</c:v>
                </c:pt>
                <c:pt idx="60">
                  <c:v>97.094045431500007</c:v>
                </c:pt>
                <c:pt idx="61">
                  <c:v>115.621943763</c:v>
                </c:pt>
                <c:pt idx="62">
                  <c:v>129.74400584399999</c:v>
                </c:pt>
                <c:pt idx="63">
                  <c:v>139.18738654699999</c:v>
                </c:pt>
                <c:pt idx="64">
                  <c:v>144.02596538899999</c:v>
                </c:pt>
                <c:pt idx="65">
                  <c:v>144.76773801300001</c:v>
                </c:pt>
                <c:pt idx="66">
                  <c:v>143.19780050200001</c:v>
                </c:pt>
                <c:pt idx="67">
                  <c:v>139.561245746</c:v>
                </c:pt>
                <c:pt idx="68">
                  <c:v>132.11663858399999</c:v>
                </c:pt>
                <c:pt idx="69">
                  <c:v>119.749187189</c:v>
                </c:pt>
                <c:pt idx="70">
                  <c:v>102.902471823</c:v>
                </c:pt>
                <c:pt idx="71">
                  <c:v>84.063264941499995</c:v>
                </c:pt>
                <c:pt idx="72">
                  <c:v>65.573331809999999</c:v>
                </c:pt>
                <c:pt idx="73">
                  <c:v>49.7246811264</c:v>
                </c:pt>
                <c:pt idx="74">
                  <c:v>37.6498699618</c:v>
                </c:pt>
                <c:pt idx="75">
                  <c:v>28.954612876300001</c:v>
                </c:pt>
                <c:pt idx="76">
                  <c:v>24.9821228733</c:v>
                </c:pt>
                <c:pt idx="77">
                  <c:v>23.304532285499999</c:v>
                </c:pt>
                <c:pt idx="78">
                  <c:v>22.561874814199999</c:v>
                </c:pt>
                <c:pt idx="79">
                  <c:v>20.173227598899999</c:v>
                </c:pt>
                <c:pt idx="80">
                  <c:v>13.122005188999999</c:v>
                </c:pt>
                <c:pt idx="81">
                  <c:v>-0.93305205956100001</c:v>
                </c:pt>
                <c:pt idx="82">
                  <c:v>-22.738598909</c:v>
                </c:pt>
                <c:pt idx="83">
                  <c:v>-48.484452706299997</c:v>
                </c:pt>
                <c:pt idx="84">
                  <c:v>-74.473102637599993</c:v>
                </c:pt>
                <c:pt idx="85">
                  <c:v>-97.233115010399999</c:v>
                </c:pt>
                <c:pt idx="86">
                  <c:v>-115.440759615</c:v>
                </c:pt>
                <c:pt idx="87">
                  <c:v>-129.33278242</c:v>
                </c:pt>
                <c:pt idx="88">
                  <c:v>-138.75191393</c:v>
                </c:pt>
                <c:pt idx="89">
                  <c:v>-143.56601538699999</c:v>
                </c:pt>
                <c:pt idx="90">
                  <c:v>-144.61316161900001</c:v>
                </c:pt>
                <c:pt idx="91">
                  <c:v>-143.063821327</c:v>
                </c:pt>
                <c:pt idx="92">
                  <c:v>-139.70856520699999</c:v>
                </c:pt>
                <c:pt idx="93">
                  <c:v>-131.79968488599999</c:v>
                </c:pt>
                <c:pt idx="94">
                  <c:v>-119.090331187</c:v>
                </c:pt>
                <c:pt idx="95">
                  <c:v>-104.235586297</c:v>
                </c:pt>
                <c:pt idx="96">
                  <c:v>-84.710349717400007</c:v>
                </c:pt>
                <c:pt idx="97">
                  <c:v>-65.591290934200003</c:v>
                </c:pt>
                <c:pt idx="98">
                  <c:v>-49.231409110400001</c:v>
                </c:pt>
                <c:pt idx="99">
                  <c:v>-36.789413353699999</c:v>
                </c:pt>
                <c:pt idx="100">
                  <c:v>-24.9039338983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D25-4674-821A-ACBE3D719C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908591"/>
        <c:axId val="1055658080"/>
      </c:scatterChart>
      <c:valAx>
        <c:axId val="1043908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658080"/>
        <c:crosses val="autoZero"/>
        <c:crossBetween val="midCat"/>
      </c:valAx>
      <c:valAx>
        <c:axId val="105565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Voltage [V]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908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Torque [Nm]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Torque [Nm]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 Ohm'!$C$3:$C$103</c:f>
              <c:numCache>
                <c:formatCode>0.00</c:formatCode>
                <c:ptCount val="101"/>
                <c:pt idx="0">
                  <c:v>9</c:v>
                </c:pt>
                <c:pt idx="1">
                  <c:v>8.9103999982079998</c:v>
                </c:pt>
                <c:pt idx="2">
                  <c:v>8.6415999928319991</c:v>
                </c:pt>
                <c:pt idx="3">
                  <c:v>8.1935999838719997</c:v>
                </c:pt>
                <c:pt idx="4">
                  <c:v>7.5663999713300001</c:v>
                </c:pt>
                <c:pt idx="5">
                  <c:v>6.7599999551999996</c:v>
                </c:pt>
                <c:pt idx="6">
                  <c:v>5.77439993549</c:v>
                </c:pt>
                <c:pt idx="7">
                  <c:v>4.6671998854099996</c:v>
                </c:pt>
                <c:pt idx="8">
                  <c:v>3.5791998290900002</c:v>
                </c:pt>
                <c:pt idx="9">
                  <c:v>2.5167997763500001</c:v>
                </c:pt>
                <c:pt idx="10">
                  <c:v>1.4799997272000001</c:v>
                </c:pt>
                <c:pt idx="11">
                  <c:v>0.4687996816299993</c:v>
                </c:pt>
                <c:pt idx="12">
                  <c:v>-0.51680036035000043</c:v>
                </c:pt>
                <c:pt idx="13">
                  <c:v>-1.4768003988</c:v>
                </c:pt>
                <c:pt idx="14">
                  <c:v>-2.4112004335999995</c:v>
                </c:pt>
                <c:pt idx="15">
                  <c:v>-3.3200004647999997</c:v>
                </c:pt>
                <c:pt idx="16">
                  <c:v>-4.2032004924000006</c:v>
                </c:pt>
                <c:pt idx="17">
                  <c:v>-5.0608005165000005</c:v>
                </c:pt>
                <c:pt idx="18">
                  <c:v>-5.8928005369999994</c:v>
                </c:pt>
                <c:pt idx="19">
                  <c:v>-6.6960005327999994</c:v>
                </c:pt>
                <c:pt idx="20">
                  <c:v>-7.400000519999999</c:v>
                </c:pt>
                <c:pt idx="21">
                  <c:v>-7.9760005967999987</c:v>
                </c:pt>
                <c:pt idx="22">
                  <c:v>-8.4240007631999987</c:v>
                </c:pt>
                <c:pt idx="23">
                  <c:v>-8.7440010191999988</c:v>
                </c:pt>
                <c:pt idx="24">
                  <c:v>-8.9360013647999992</c:v>
                </c:pt>
                <c:pt idx="25">
                  <c:v>-9.0000017999999997</c:v>
                </c:pt>
                <c:pt idx="26">
                  <c:v>-8.9104023197000011</c:v>
                </c:pt>
                <c:pt idx="27">
                  <c:v>-8.6416025346999987</c:v>
                </c:pt>
                <c:pt idx="28">
                  <c:v>-8.1936024451000016</c:v>
                </c:pt>
                <c:pt idx="29">
                  <c:v>-7.566402050899999</c:v>
                </c:pt>
                <c:pt idx="30">
                  <c:v>-6.7600013519999997</c:v>
                </c:pt>
                <c:pt idx="31">
                  <c:v>-5.7744003485000004</c:v>
                </c:pt>
                <c:pt idx="32">
                  <c:v>-4.6672001289999994</c:v>
                </c:pt>
                <c:pt idx="33">
                  <c:v>-3.5792002186000005</c:v>
                </c:pt>
                <c:pt idx="34">
                  <c:v>-2.5168002902000008</c:v>
                </c:pt>
                <c:pt idx="35">
                  <c:v>-1.4800003440000005</c:v>
                </c:pt>
                <c:pt idx="36">
                  <c:v>-0.46880037983999934</c:v>
                </c:pt>
                <c:pt idx="37">
                  <c:v>0.51679960224000077</c:v>
                </c:pt>
                <c:pt idx="38">
                  <c:v>1.4767996022399998</c:v>
                </c:pt>
                <c:pt idx="39">
                  <c:v>2.4111996201599997</c:v>
                </c:pt>
                <c:pt idx="40">
                  <c:v>3.3199996560000002</c:v>
                </c:pt>
                <c:pt idx="41">
                  <c:v>4.2031997097599998</c:v>
                </c:pt>
                <c:pt idx="42">
                  <c:v>5.0607997814400001</c:v>
                </c:pt>
                <c:pt idx="43">
                  <c:v>5.8927998710399994</c:v>
                </c:pt>
                <c:pt idx="44">
                  <c:v>6.6960000144</c:v>
                </c:pt>
                <c:pt idx="45">
                  <c:v>7.3999995599999995</c:v>
                </c:pt>
                <c:pt idx="46">
                  <c:v>7.9759979663799996</c:v>
                </c:pt>
                <c:pt idx="47">
                  <c:v>8.4239952335569992</c:v>
                </c:pt>
                <c:pt idx="48">
                  <c:v>8.7439913615229994</c:v>
                </c:pt>
                <c:pt idx="49">
                  <c:v>8.9359863502780996</c:v>
                </c:pt>
                <c:pt idx="50">
                  <c:v>8.99998019975307</c:v>
                </c:pt>
                <c:pt idx="51">
                  <c:v>8.9103707899613998</c:v>
                </c:pt>
                <c:pt idx="52">
                  <c:v>8.6415613765860009</c:v>
                </c:pt>
                <c:pt idx="53">
                  <c:v>8.1935519596259994</c:v>
                </c:pt>
                <c:pt idx="54">
                  <c:v>7.5663425390799999</c:v>
                </c:pt>
                <c:pt idx="55">
                  <c:v>6.7599331149499999</c:v>
                </c:pt>
                <c:pt idx="56">
                  <c:v>5.7743236872399999</c:v>
                </c:pt>
                <c:pt idx="57">
                  <c:v>4.6671222934400003</c:v>
                </c:pt>
                <c:pt idx="58">
                  <c:v>3.5791235811200002</c:v>
                </c:pt>
                <c:pt idx="59">
                  <c:v>2.5167248723900002</c:v>
                </c:pt>
                <c:pt idx="60">
                  <c:v>1.4799261672400004</c:v>
                </c:pt>
                <c:pt idx="61">
                  <c:v>0.46872746566999979</c:v>
                </c:pt>
                <c:pt idx="62">
                  <c:v>-0.51687123231999976</c:v>
                </c:pt>
                <c:pt idx="63">
                  <c:v>-1.4768699266999992</c:v>
                </c:pt>
                <c:pt idx="64">
                  <c:v>-2.4112686174999993</c:v>
                </c:pt>
                <c:pt idx="65">
                  <c:v>-3.3200673048000002</c:v>
                </c:pt>
                <c:pt idx="66">
                  <c:v>-4.2032659884000001</c:v>
                </c:pt>
                <c:pt idx="67">
                  <c:v>-5.0608646685000007</c:v>
                </c:pt>
                <c:pt idx="68">
                  <c:v>-5.8928633450000003</c:v>
                </c:pt>
                <c:pt idx="69">
                  <c:v>-6.6960606525999999</c:v>
                </c:pt>
                <c:pt idx="70">
                  <c:v>-7.4000539198000013</c:v>
                </c:pt>
                <c:pt idx="71">
                  <c:v>-7.9760472765999992</c:v>
                </c:pt>
                <c:pt idx="72">
                  <c:v>-8.424040723000001</c:v>
                </c:pt>
                <c:pt idx="73">
                  <c:v>-8.7440342589999993</c:v>
                </c:pt>
                <c:pt idx="74">
                  <c:v>-8.9360278846000014</c:v>
                </c:pt>
                <c:pt idx="75">
                  <c:v>-9.0000215998000002</c:v>
                </c:pt>
                <c:pt idx="76">
                  <c:v>-8.9104127115000011</c:v>
                </c:pt>
                <c:pt idx="77">
                  <c:v>-8.6416035184999984</c:v>
                </c:pt>
                <c:pt idx="78">
                  <c:v>-8.1935940209000009</c:v>
                </c:pt>
                <c:pt idx="79">
                  <c:v>-7.5663842185999997</c:v>
                </c:pt>
                <c:pt idx="80">
                  <c:v>-6.7599741117000001</c:v>
                </c:pt>
                <c:pt idx="81">
                  <c:v>-5.7743637002000003</c:v>
                </c:pt>
                <c:pt idx="82">
                  <c:v>-4.667162137</c:v>
                </c:pt>
                <c:pt idx="83">
                  <c:v>-3.5791635706000005</c:v>
                </c:pt>
                <c:pt idx="84">
                  <c:v>-2.5167649863000001</c:v>
                </c:pt>
                <c:pt idx="85">
                  <c:v>-1.4799663840000008</c:v>
                </c:pt>
                <c:pt idx="86">
                  <c:v>-0.46876776388000074</c:v>
                </c:pt>
                <c:pt idx="87">
                  <c:v>0.51683087420000007</c:v>
                </c:pt>
                <c:pt idx="88">
                  <c:v>1.4768295301999999</c:v>
                </c:pt>
                <c:pt idx="89">
                  <c:v>2.4112282041200004</c:v>
                </c:pt>
                <c:pt idx="90">
                  <c:v>3.3200268959599999</c:v>
                </c:pt>
                <c:pt idx="91">
                  <c:v>4.2032256057300001</c:v>
                </c:pt>
                <c:pt idx="92">
                  <c:v>5.0608243334100003</c:v>
                </c:pt>
                <c:pt idx="93">
                  <c:v>5.8928230790100002</c:v>
                </c:pt>
                <c:pt idx="94">
                  <c:v>6.6960205342299997</c:v>
                </c:pt>
                <c:pt idx="95">
                  <c:v>7.40001335976</c:v>
                </c:pt>
                <c:pt idx="96">
                  <c:v>7.9760050460900001</c:v>
                </c:pt>
                <c:pt idx="97">
                  <c:v>8.4239955932059996</c:v>
                </c:pt>
                <c:pt idx="98">
                  <c:v>8.7439850011119997</c:v>
                </c:pt>
                <c:pt idx="99">
                  <c:v>8.9359732698084002</c:v>
                </c:pt>
                <c:pt idx="100">
                  <c:v>8.9999603990122345</c:v>
                </c:pt>
              </c:numCache>
            </c:numRef>
          </c:xVal>
          <c:yVal>
            <c:numRef>
              <c:f>'1 Ohm'!$D$3:$D$103</c:f>
              <c:numCache>
                <c:formatCode>0.0</c:formatCode>
                <c:ptCount val="101"/>
                <c:pt idx="0">
                  <c:v>-512.664896043</c:v>
                </c:pt>
                <c:pt idx="1">
                  <c:v>-488.778961213</c:v>
                </c:pt>
                <c:pt idx="2">
                  <c:v>-412.41193856799998</c:v>
                </c:pt>
                <c:pt idx="3">
                  <c:v>-264.54807571999999</c:v>
                </c:pt>
                <c:pt idx="4">
                  <c:v>-14.407910019499999</c:v>
                </c:pt>
                <c:pt idx="5">
                  <c:v>311.878109817</c:v>
                </c:pt>
                <c:pt idx="6">
                  <c:v>615.85756182600005</c:v>
                </c:pt>
                <c:pt idx="7">
                  <c:v>782.02812674799998</c:v>
                </c:pt>
                <c:pt idx="8">
                  <c:v>856.72143134400005</c:v>
                </c:pt>
                <c:pt idx="9">
                  <c:v>930.66551239700004</c:v>
                </c:pt>
                <c:pt idx="10">
                  <c:v>1028.6184671799999</c:v>
                </c:pt>
                <c:pt idx="11">
                  <c:v>1114.2807857400001</c:v>
                </c:pt>
                <c:pt idx="12">
                  <c:v>1148.2721272599999</c:v>
                </c:pt>
                <c:pt idx="13">
                  <c:v>1112.66347518</c:v>
                </c:pt>
                <c:pt idx="14">
                  <c:v>989.08670208299998</c:v>
                </c:pt>
                <c:pt idx="15">
                  <c:v>788.47905855399995</c:v>
                </c:pt>
                <c:pt idx="16">
                  <c:v>524.43379054900004</c:v>
                </c:pt>
                <c:pt idx="17">
                  <c:v>226.754973613</c:v>
                </c:pt>
                <c:pt idx="18">
                  <c:v>4.9061034374599997</c:v>
                </c:pt>
                <c:pt idx="19">
                  <c:v>-67.632842043799997</c:v>
                </c:pt>
                <c:pt idx="20">
                  <c:v>-3.3373371078599998</c:v>
                </c:pt>
                <c:pt idx="21">
                  <c:v>116.947764838</c:v>
                </c:pt>
                <c:pt idx="22">
                  <c:v>243.24250702200001</c:v>
                </c:pt>
                <c:pt idx="23">
                  <c:v>343.701638812</c:v>
                </c:pt>
                <c:pt idx="24">
                  <c:v>412.71147521500001</c:v>
                </c:pt>
                <c:pt idx="25">
                  <c:v>450.86350391799999</c:v>
                </c:pt>
                <c:pt idx="26">
                  <c:v>451.08185061900002</c:v>
                </c:pt>
                <c:pt idx="27">
                  <c:v>398.543404614</c:v>
                </c:pt>
                <c:pt idx="28">
                  <c:v>268.79563185299997</c:v>
                </c:pt>
                <c:pt idx="29">
                  <c:v>39.593746408800001</c:v>
                </c:pt>
                <c:pt idx="30">
                  <c:v>-268.21019250500001</c:v>
                </c:pt>
                <c:pt idx="31">
                  <c:v>-553.69589672899997</c:v>
                </c:pt>
                <c:pt idx="32">
                  <c:v>-721.05023399499999</c:v>
                </c:pt>
                <c:pt idx="33">
                  <c:v>-797.05729055999996</c:v>
                </c:pt>
                <c:pt idx="34">
                  <c:v>-882.65020827399997</c:v>
                </c:pt>
                <c:pt idx="35">
                  <c:v>-997.65667535499995</c:v>
                </c:pt>
                <c:pt idx="36">
                  <c:v>-1101.41428494</c:v>
                </c:pt>
                <c:pt idx="37">
                  <c:v>-1139.75448127</c:v>
                </c:pt>
                <c:pt idx="38">
                  <c:v>-1097.04198219</c:v>
                </c:pt>
                <c:pt idx="39">
                  <c:v>-968.44250062100002</c:v>
                </c:pt>
                <c:pt idx="40">
                  <c:v>-760.39824592399998</c:v>
                </c:pt>
                <c:pt idx="41">
                  <c:v>-490.37769427699999</c:v>
                </c:pt>
                <c:pt idx="42">
                  <c:v>-189.85341287899999</c:v>
                </c:pt>
                <c:pt idx="43">
                  <c:v>40.571655452100003</c:v>
                </c:pt>
                <c:pt idx="44">
                  <c:v>101.178635422</c:v>
                </c:pt>
                <c:pt idx="45">
                  <c:v>30.841175991499998</c:v>
                </c:pt>
                <c:pt idx="46">
                  <c:v>-91.676799381099997</c:v>
                </c:pt>
                <c:pt idx="47">
                  <c:v>-213.39575297299999</c:v>
                </c:pt>
                <c:pt idx="48">
                  <c:v>-312.95438208299998</c:v>
                </c:pt>
                <c:pt idx="49">
                  <c:v>-382.53257491400001</c:v>
                </c:pt>
                <c:pt idx="50">
                  <c:v>-362.89433811999999</c:v>
                </c:pt>
                <c:pt idx="51" formatCode="0.00">
                  <c:v>-416.86060292299999</c:v>
                </c:pt>
                <c:pt idx="52" formatCode="0.00">
                  <c:v>-365.02337646299998</c:v>
                </c:pt>
                <c:pt idx="53" formatCode="0.00">
                  <c:v>-241.13901246899999</c:v>
                </c:pt>
                <c:pt idx="54" formatCode="0.00">
                  <c:v>-12.812747247200001</c:v>
                </c:pt>
                <c:pt idx="55" formatCode="0.00">
                  <c:v>297.48638387300002</c:v>
                </c:pt>
                <c:pt idx="56" formatCode="0.00">
                  <c:v>590.74501649800004</c:v>
                </c:pt>
                <c:pt idx="57" formatCode="0.00">
                  <c:v>751.0736905</c:v>
                </c:pt>
                <c:pt idx="58" formatCode="0.00">
                  <c:v>824.55074269500005</c:v>
                </c:pt>
                <c:pt idx="59" formatCode="0.00">
                  <c:v>901.39634341099998</c:v>
                </c:pt>
                <c:pt idx="60" formatCode="0.00">
                  <c:v>1003.96173718</c:v>
                </c:pt>
                <c:pt idx="61" formatCode="0.00">
                  <c:v>1094.0543530800001</c:v>
                </c:pt>
                <c:pt idx="62" formatCode="0.00">
                  <c:v>1132.1697704400001</c:v>
                </c:pt>
                <c:pt idx="63" formatCode="0.00">
                  <c:v>1100.3036290299999</c:v>
                </c:pt>
                <c:pt idx="64" formatCode="0.00">
                  <c:v>979.83109830399997</c:v>
                </c:pt>
                <c:pt idx="65" formatCode="0.00">
                  <c:v>781.615025726</c:v>
                </c:pt>
                <c:pt idx="66" formatCode="0.00">
                  <c:v>519.25507362400003</c:v>
                </c:pt>
                <c:pt idx="67" formatCode="0.00">
                  <c:v>223.00630244999999</c:v>
                </c:pt>
                <c:pt idx="68" formatCode="0.00">
                  <c:v>2.6692531659599998</c:v>
                </c:pt>
                <c:pt idx="69" formatCode="0.00">
                  <c:v>-68.605956727000006</c:v>
                </c:pt>
                <c:pt idx="70" formatCode="0.00">
                  <c:v>-3.43809497646</c:v>
                </c:pt>
                <c:pt idx="71" formatCode="0.00">
                  <c:v>117.374172464</c:v>
                </c:pt>
                <c:pt idx="72" formatCode="0.00">
                  <c:v>243.93073821300001</c:v>
                </c:pt>
                <c:pt idx="73" formatCode="0.00">
                  <c:v>344.42780138199998</c:v>
                </c:pt>
                <c:pt idx="74" formatCode="0.00">
                  <c:v>413.372101929</c:v>
                </c:pt>
                <c:pt idx="75" formatCode="0.00">
                  <c:v>448.340614227</c:v>
                </c:pt>
                <c:pt idx="76" formatCode="0.00">
                  <c:v>451.19670676099997</c:v>
                </c:pt>
                <c:pt idx="77" formatCode="0.00">
                  <c:v>398.61758127600001</c:v>
                </c:pt>
                <c:pt idx="78" formatCode="0.00">
                  <c:v>268.82927225600002</c:v>
                </c:pt>
                <c:pt idx="79" formatCode="0.00">
                  <c:v>39.591527527499998</c:v>
                </c:pt>
                <c:pt idx="80" formatCode="0.00">
                  <c:v>-268.25261506099997</c:v>
                </c:pt>
                <c:pt idx="81" formatCode="0.00">
                  <c:v>-553.74493436700004</c:v>
                </c:pt>
                <c:pt idx="82" formatCode="0.00">
                  <c:v>-721.10326148599995</c:v>
                </c:pt>
                <c:pt idx="83" formatCode="0.00">
                  <c:v>-797.11029229200005</c:v>
                </c:pt>
                <c:pt idx="84" formatCode="0.00">
                  <c:v>-882.69982879999998</c:v>
                </c:pt>
                <c:pt idx="85" formatCode="0.00">
                  <c:v>-997.699033794</c:v>
                </c:pt>
                <c:pt idx="86" formatCode="0.00">
                  <c:v>-1101.4487853000001</c:v>
                </c:pt>
                <c:pt idx="87" formatCode="0.00">
                  <c:v>-1139.7806743599999</c:v>
                </c:pt>
                <c:pt idx="88" formatCode="0.00">
                  <c:v>-1097.05877317</c:v>
                </c:pt>
                <c:pt idx="89" formatCode="0.00">
                  <c:v>-968.45134056699999</c:v>
                </c:pt>
                <c:pt idx="90" formatCode="0.00">
                  <c:v>-760.40149770100004</c:v>
                </c:pt>
                <c:pt idx="91" formatCode="0.00">
                  <c:v>-490.37421310500002</c:v>
                </c:pt>
                <c:pt idx="92" formatCode="0.00">
                  <c:v>-189.851057508</c:v>
                </c:pt>
                <c:pt idx="93" formatCode="0.00">
                  <c:v>40.572558485400002</c:v>
                </c:pt>
                <c:pt idx="94" formatCode="0.00">
                  <c:v>101.176663846</c:v>
                </c:pt>
                <c:pt idx="95" formatCode="0.00">
                  <c:v>30.838698093800001</c:v>
                </c:pt>
                <c:pt idx="96" formatCode="0.00">
                  <c:v>-91.678471067900006</c:v>
                </c:pt>
                <c:pt idx="97" formatCode="0.00">
                  <c:v>-213.39591005299999</c:v>
                </c:pt>
                <c:pt idx="98" formatCode="0.00">
                  <c:v>-312.95292181100001</c:v>
                </c:pt>
                <c:pt idx="99" formatCode="0.00">
                  <c:v>-382.53013621999997</c:v>
                </c:pt>
                <c:pt idx="100" formatCode="0.00">
                  <c:v>-370.57092005999999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03B-4CE6-8A8F-795DB6A3D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908591"/>
        <c:axId val="1055658080"/>
      </c:scatterChart>
      <c:valAx>
        <c:axId val="1043908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Angle [Deg]</a:t>
                </a:r>
              </a:p>
            </c:rich>
          </c:tx>
          <c:layout>
            <c:manualLayout>
              <c:xMode val="edge"/>
              <c:yMode val="edge"/>
              <c:x val="0.43784845390105209"/>
              <c:y val="0.872700786151135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658080"/>
        <c:crosses val="autoZero"/>
        <c:crossBetween val="midCat"/>
      </c:valAx>
      <c:valAx>
        <c:axId val="105565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Torque [Nm]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908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[W]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El. Power [W]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 Ohm'!$B$3:$B$103</c:f>
              <c:numCache>
                <c:formatCode>General</c:formatCode>
                <c:ptCount val="101"/>
                <c:pt idx="0">
                  <c:v>0</c:v>
                </c:pt>
                <c:pt idx="1">
                  <c:v>6.6666670000000003E-4</c:v>
                </c:pt>
                <c:pt idx="2">
                  <c:v>1.3333334000000001E-3</c:v>
                </c:pt>
                <c:pt idx="3">
                  <c:v>2.0000001000000001E-3</c:v>
                </c:pt>
                <c:pt idx="4">
                  <c:v>2.6666668000000001E-3</c:v>
                </c:pt>
                <c:pt idx="5">
                  <c:v>3.3333335000000001E-3</c:v>
                </c:pt>
                <c:pt idx="6">
                  <c:v>4.0000002000000002E-3</c:v>
                </c:pt>
                <c:pt idx="7">
                  <c:v>4.6666668999999997E-3</c:v>
                </c:pt>
                <c:pt idx="8">
                  <c:v>5.3333336000000002E-3</c:v>
                </c:pt>
                <c:pt idx="9">
                  <c:v>6.0000002999999998E-3</c:v>
                </c:pt>
                <c:pt idx="10">
                  <c:v>6.6666670000000003E-3</c:v>
                </c:pt>
                <c:pt idx="11">
                  <c:v>7.3333336999999998E-3</c:v>
                </c:pt>
                <c:pt idx="12">
                  <c:v>8.0000004000000003E-3</c:v>
                </c:pt>
                <c:pt idx="13">
                  <c:v>8.6666671000000008E-3</c:v>
                </c:pt>
                <c:pt idx="14">
                  <c:v>9.3333337999999995E-3</c:v>
                </c:pt>
                <c:pt idx="15">
                  <c:v>1.00000005E-2</c:v>
                </c:pt>
                <c:pt idx="16">
                  <c:v>1.06666672E-2</c:v>
                </c:pt>
                <c:pt idx="17">
                  <c:v>1.1333333900000001E-2</c:v>
                </c:pt>
                <c:pt idx="18">
                  <c:v>1.20000006E-2</c:v>
                </c:pt>
                <c:pt idx="19">
                  <c:v>1.26666673E-2</c:v>
                </c:pt>
                <c:pt idx="20">
                  <c:v>1.3333334000000001E-2</c:v>
                </c:pt>
                <c:pt idx="21">
                  <c:v>1.4000000699999999E-2</c:v>
                </c:pt>
                <c:pt idx="22">
                  <c:v>1.46666674E-2</c:v>
                </c:pt>
                <c:pt idx="23">
                  <c:v>1.53333341E-2</c:v>
                </c:pt>
                <c:pt idx="24">
                  <c:v>1.6000000800000001E-2</c:v>
                </c:pt>
                <c:pt idx="25">
                  <c:v>1.6666667499999999E-2</c:v>
                </c:pt>
                <c:pt idx="26">
                  <c:v>1.7333334200000002E-2</c:v>
                </c:pt>
                <c:pt idx="27">
                  <c:v>1.80000009E-2</c:v>
                </c:pt>
                <c:pt idx="28">
                  <c:v>1.8666667599999999E-2</c:v>
                </c:pt>
                <c:pt idx="29">
                  <c:v>1.9333334300000001E-2</c:v>
                </c:pt>
                <c:pt idx="30">
                  <c:v>2.0000001E-2</c:v>
                </c:pt>
                <c:pt idx="31">
                  <c:v>2.0666667699999999E-2</c:v>
                </c:pt>
                <c:pt idx="32">
                  <c:v>2.1333334400000001E-2</c:v>
                </c:pt>
                <c:pt idx="33">
                  <c:v>2.20000011E-2</c:v>
                </c:pt>
                <c:pt idx="34">
                  <c:v>2.2666667800000002E-2</c:v>
                </c:pt>
                <c:pt idx="35">
                  <c:v>2.33333345E-2</c:v>
                </c:pt>
                <c:pt idx="36">
                  <c:v>2.4000001199999999E-2</c:v>
                </c:pt>
                <c:pt idx="37">
                  <c:v>2.4666667900000001E-2</c:v>
                </c:pt>
                <c:pt idx="38">
                  <c:v>2.53333346E-2</c:v>
                </c:pt>
                <c:pt idx="39">
                  <c:v>2.6000001299999999E-2</c:v>
                </c:pt>
                <c:pt idx="40">
                  <c:v>2.6666668000000001E-2</c:v>
                </c:pt>
                <c:pt idx="41">
                  <c:v>2.73333347E-2</c:v>
                </c:pt>
                <c:pt idx="42">
                  <c:v>2.8000001399999998E-2</c:v>
                </c:pt>
                <c:pt idx="43">
                  <c:v>2.8666668100000001E-2</c:v>
                </c:pt>
                <c:pt idx="44">
                  <c:v>2.9333334799999999E-2</c:v>
                </c:pt>
                <c:pt idx="45">
                  <c:v>3.0000001500000002E-2</c:v>
                </c:pt>
                <c:pt idx="46">
                  <c:v>3.06666682E-2</c:v>
                </c:pt>
                <c:pt idx="47">
                  <c:v>3.1333334900000002E-2</c:v>
                </c:pt>
                <c:pt idx="48">
                  <c:v>3.2000001600000001E-2</c:v>
                </c:pt>
                <c:pt idx="49">
                  <c:v>3.26666683E-2</c:v>
                </c:pt>
                <c:pt idx="50">
                  <c:v>3.3333334999999999E-2</c:v>
                </c:pt>
                <c:pt idx="51">
                  <c:v>3.4000001699999997E-2</c:v>
                </c:pt>
                <c:pt idx="52">
                  <c:v>3.4666668400000003E-2</c:v>
                </c:pt>
                <c:pt idx="53">
                  <c:v>3.5333335100000002E-2</c:v>
                </c:pt>
                <c:pt idx="54">
                  <c:v>3.60000018E-2</c:v>
                </c:pt>
                <c:pt idx="55">
                  <c:v>3.6666668499999999E-2</c:v>
                </c:pt>
                <c:pt idx="56">
                  <c:v>3.7333335199999998E-2</c:v>
                </c:pt>
                <c:pt idx="57">
                  <c:v>3.8000001899999997E-2</c:v>
                </c:pt>
                <c:pt idx="58">
                  <c:v>3.8666668600000002E-2</c:v>
                </c:pt>
                <c:pt idx="59">
                  <c:v>3.9333335300000001E-2</c:v>
                </c:pt>
                <c:pt idx="60">
                  <c:v>4.0000002E-2</c:v>
                </c:pt>
                <c:pt idx="61">
                  <c:v>4.0666668699999999E-2</c:v>
                </c:pt>
                <c:pt idx="62">
                  <c:v>4.1333335399999997E-2</c:v>
                </c:pt>
                <c:pt idx="63">
                  <c:v>4.2000002100000003E-2</c:v>
                </c:pt>
                <c:pt idx="64">
                  <c:v>4.2666668800000002E-2</c:v>
                </c:pt>
                <c:pt idx="65">
                  <c:v>4.33333355E-2</c:v>
                </c:pt>
                <c:pt idx="66">
                  <c:v>4.4000002199999999E-2</c:v>
                </c:pt>
                <c:pt idx="67">
                  <c:v>4.4666668899999998E-2</c:v>
                </c:pt>
                <c:pt idx="68">
                  <c:v>4.5333335600000003E-2</c:v>
                </c:pt>
                <c:pt idx="69">
                  <c:v>4.6000002300000002E-2</c:v>
                </c:pt>
                <c:pt idx="70">
                  <c:v>4.6666669000000001E-2</c:v>
                </c:pt>
                <c:pt idx="71">
                  <c:v>4.73333357E-2</c:v>
                </c:pt>
                <c:pt idx="72">
                  <c:v>4.8000002399999998E-2</c:v>
                </c:pt>
                <c:pt idx="73">
                  <c:v>4.8666669099999997E-2</c:v>
                </c:pt>
                <c:pt idx="74">
                  <c:v>4.9333335800000003E-2</c:v>
                </c:pt>
                <c:pt idx="75">
                  <c:v>5.0000002500000001E-2</c:v>
                </c:pt>
                <c:pt idx="76">
                  <c:v>5.06666692E-2</c:v>
                </c:pt>
                <c:pt idx="77">
                  <c:v>5.1333335899999999E-2</c:v>
                </c:pt>
                <c:pt idx="78">
                  <c:v>5.2000002599999998E-2</c:v>
                </c:pt>
                <c:pt idx="79">
                  <c:v>5.2666669300000003E-2</c:v>
                </c:pt>
                <c:pt idx="80">
                  <c:v>5.3333336000000002E-2</c:v>
                </c:pt>
                <c:pt idx="81">
                  <c:v>5.4000002700000001E-2</c:v>
                </c:pt>
                <c:pt idx="82">
                  <c:v>5.4666669399999999E-2</c:v>
                </c:pt>
                <c:pt idx="83">
                  <c:v>5.5333336099999998E-2</c:v>
                </c:pt>
                <c:pt idx="84">
                  <c:v>5.6000002799999997E-2</c:v>
                </c:pt>
                <c:pt idx="85">
                  <c:v>5.6666669500000003E-2</c:v>
                </c:pt>
                <c:pt idx="86">
                  <c:v>5.7333336200000001E-2</c:v>
                </c:pt>
                <c:pt idx="87">
                  <c:v>5.80000029E-2</c:v>
                </c:pt>
                <c:pt idx="88">
                  <c:v>5.8666669599999999E-2</c:v>
                </c:pt>
                <c:pt idx="89">
                  <c:v>5.9333336299999997E-2</c:v>
                </c:pt>
                <c:pt idx="90">
                  <c:v>6.0000003000000003E-2</c:v>
                </c:pt>
                <c:pt idx="91">
                  <c:v>6.0666669700000002E-2</c:v>
                </c:pt>
                <c:pt idx="92">
                  <c:v>6.1333336400000001E-2</c:v>
                </c:pt>
                <c:pt idx="93">
                  <c:v>6.2000003099999999E-2</c:v>
                </c:pt>
                <c:pt idx="94">
                  <c:v>6.2666669800000005E-2</c:v>
                </c:pt>
                <c:pt idx="95">
                  <c:v>6.3333336500000004E-2</c:v>
                </c:pt>
                <c:pt idx="96">
                  <c:v>6.4000003200000002E-2</c:v>
                </c:pt>
                <c:pt idx="97">
                  <c:v>6.4666669900000001E-2</c:v>
                </c:pt>
                <c:pt idx="98">
                  <c:v>6.53333366E-2</c:v>
                </c:pt>
                <c:pt idx="99">
                  <c:v>6.6000003299999999E-2</c:v>
                </c:pt>
                <c:pt idx="100">
                  <c:v>6.6666669999999997E-2</c:v>
                </c:pt>
              </c:numCache>
            </c:numRef>
          </c:xVal>
          <c:yVal>
            <c:numRef>
              <c:f>'1 Ohm'!$F$3:$F$103</c:f>
              <c:numCache>
                <c:formatCode>0</c:formatCode>
                <c:ptCount val="101"/>
                <c:pt idx="0">
                  <c:v>1.1913344449099999E-12</c:v>
                </c:pt>
                <c:pt idx="1">
                  <c:v>0.68060861143999996</c:v>
                </c:pt>
                <c:pt idx="2">
                  <c:v>11.018203340299999</c:v>
                </c:pt>
                <c:pt idx="3">
                  <c:v>44.805532032400002</c:v>
                </c:pt>
                <c:pt idx="4">
                  <c:v>76.181201791600003</c:v>
                </c:pt>
                <c:pt idx="5">
                  <c:v>41.596293428400003</c:v>
                </c:pt>
                <c:pt idx="6">
                  <c:v>15.6642594583</c:v>
                </c:pt>
                <c:pt idx="7">
                  <c:v>348.34239307199999</c:v>
                </c:pt>
                <c:pt idx="8">
                  <c:v>1644.04600884</c:v>
                </c:pt>
                <c:pt idx="9">
                  <c:v>4260.3518453300003</c:v>
                </c:pt>
                <c:pt idx="10">
                  <c:v>7904.8312126800001</c:v>
                </c:pt>
                <c:pt idx="11">
                  <c:v>11869.5554426</c:v>
                </c:pt>
                <c:pt idx="12">
                  <c:v>15558.875703399999</c:v>
                </c:pt>
                <c:pt idx="13">
                  <c:v>18522.373599400002</c:v>
                </c:pt>
                <c:pt idx="14">
                  <c:v>20423.1946178</c:v>
                </c:pt>
                <c:pt idx="15">
                  <c:v>21153.678129399999</c:v>
                </c:pt>
                <c:pt idx="16">
                  <c:v>20974.033006199999</c:v>
                </c:pt>
                <c:pt idx="17">
                  <c:v>20182.114637400002</c:v>
                </c:pt>
                <c:pt idx="18">
                  <c:v>18610.342072300002</c:v>
                </c:pt>
                <c:pt idx="19">
                  <c:v>15992.108888299999</c:v>
                </c:pt>
                <c:pt idx="20">
                  <c:v>12507.724327899999</c:v>
                </c:pt>
                <c:pt idx="21">
                  <c:v>8834.1570621600004</c:v>
                </c:pt>
                <c:pt idx="22">
                  <c:v>5671.47618435</c:v>
                </c:pt>
                <c:pt idx="23">
                  <c:v>3373.8725628399998</c:v>
                </c:pt>
                <c:pt idx="24">
                  <c:v>1939.30792675</c:v>
                </c:pt>
                <c:pt idx="25">
                  <c:v>1142.0111601999999</c:v>
                </c:pt>
                <c:pt idx="26">
                  <c:v>746.89981880599998</c:v>
                </c:pt>
                <c:pt idx="27">
                  <c:v>584.68670979199999</c:v>
                </c:pt>
                <c:pt idx="28">
                  <c:v>527.17668617599998</c:v>
                </c:pt>
                <c:pt idx="29">
                  <c:v>457.95852414199999</c:v>
                </c:pt>
                <c:pt idx="30">
                  <c:v>281.86436130099997</c:v>
                </c:pt>
                <c:pt idx="31">
                  <c:v>53.778474630399998</c:v>
                </c:pt>
                <c:pt idx="32">
                  <c:v>179.469044225</c:v>
                </c:pt>
                <c:pt idx="33">
                  <c:v>1322.8240379900001</c:v>
                </c:pt>
                <c:pt idx="34">
                  <c:v>3835.1327462899999</c:v>
                </c:pt>
                <c:pt idx="35">
                  <c:v>7413.0177455700004</c:v>
                </c:pt>
                <c:pt idx="36">
                  <c:v>11334.197826699999</c:v>
                </c:pt>
                <c:pt idx="37">
                  <c:v>14993.7009387</c:v>
                </c:pt>
                <c:pt idx="38">
                  <c:v>17973.969980900001</c:v>
                </c:pt>
                <c:pt idx="39">
                  <c:v>19927.173268300001</c:v>
                </c:pt>
                <c:pt idx="40">
                  <c:v>20761.4249767</c:v>
                </c:pt>
                <c:pt idx="41">
                  <c:v>20689.431181200001</c:v>
                </c:pt>
                <c:pt idx="42">
                  <c:v>19990.796361199999</c:v>
                </c:pt>
                <c:pt idx="43">
                  <c:v>18434.177385200001</c:v>
                </c:pt>
                <c:pt idx="44">
                  <c:v>15749.781591000001</c:v>
                </c:pt>
                <c:pt idx="45">
                  <c:v>12486.9621398</c:v>
                </c:pt>
                <c:pt idx="46">
                  <c:v>8956.8938177599994</c:v>
                </c:pt>
                <c:pt idx="47">
                  <c:v>5678.0918120799997</c:v>
                </c:pt>
                <c:pt idx="48">
                  <c:v>3318.3476377400002</c:v>
                </c:pt>
                <c:pt idx="49">
                  <c:v>1862.7794556599999</c:v>
                </c:pt>
                <c:pt idx="50">
                  <c:v>957.45490504300005</c:v>
                </c:pt>
                <c:pt idx="51">
                  <c:v>623.149600126</c:v>
                </c:pt>
                <c:pt idx="52">
                  <c:v>609.56111615099996</c:v>
                </c:pt>
                <c:pt idx="53">
                  <c:v>579.12522185700004</c:v>
                </c:pt>
                <c:pt idx="54">
                  <c:v>525.390604897</c:v>
                </c:pt>
                <c:pt idx="55">
                  <c:v>312.28685382999998</c:v>
                </c:pt>
                <c:pt idx="56">
                  <c:v>55.393316930399997</c:v>
                </c:pt>
                <c:pt idx="57">
                  <c:v>166.86456130100001</c:v>
                </c:pt>
                <c:pt idx="58">
                  <c:v>1283.35140654</c:v>
                </c:pt>
                <c:pt idx="59">
                  <c:v>3785.8511775000002</c:v>
                </c:pt>
                <c:pt idx="60">
                  <c:v>7376.2417722500004</c:v>
                </c:pt>
                <c:pt idx="61">
                  <c:v>11340.6299328</c:v>
                </c:pt>
                <c:pt idx="62">
                  <c:v>15067.731693199999</c:v>
                </c:pt>
                <c:pt idx="63">
                  <c:v>18088.454906700001</c:v>
                </c:pt>
                <c:pt idx="64">
                  <c:v>20054.4016658</c:v>
                </c:pt>
                <c:pt idx="65">
                  <c:v>20850.496633399998</c:v>
                </c:pt>
                <c:pt idx="66">
                  <c:v>20731.243235000002</c:v>
                </c:pt>
                <c:pt idx="67">
                  <c:v>19989.2716028</c:v>
                </c:pt>
                <c:pt idx="68">
                  <c:v>18456.836723100001</c:v>
                </c:pt>
                <c:pt idx="69">
                  <c:v>15871.844702599999</c:v>
                </c:pt>
                <c:pt idx="70">
                  <c:v>12417.091300100001</c:v>
                </c:pt>
                <c:pt idx="71">
                  <c:v>8768.6229906799999</c:v>
                </c:pt>
                <c:pt idx="72">
                  <c:v>5626.2675741100002</c:v>
                </c:pt>
                <c:pt idx="73">
                  <c:v>3344.3395908100001</c:v>
                </c:pt>
                <c:pt idx="74">
                  <c:v>1920.7281331900001</c:v>
                </c:pt>
                <c:pt idx="75">
                  <c:v>1115.3399081800001</c:v>
                </c:pt>
                <c:pt idx="76">
                  <c:v>728.60792223299995</c:v>
                </c:pt>
                <c:pt idx="77">
                  <c:v>583.13479245500002</c:v>
                </c:pt>
                <c:pt idx="78">
                  <c:v>525.977786735</c:v>
                </c:pt>
                <c:pt idx="79">
                  <c:v>457.04771419100001</c:v>
                </c:pt>
                <c:pt idx="80">
                  <c:v>281.28644305699999</c:v>
                </c:pt>
                <c:pt idx="81">
                  <c:v>53.604697453299998</c:v>
                </c:pt>
                <c:pt idx="82">
                  <c:v>179.71025434399999</c:v>
                </c:pt>
                <c:pt idx="83">
                  <c:v>1323.4181860000001</c:v>
                </c:pt>
                <c:pt idx="84">
                  <c:v>3835.9242644800001</c:v>
                </c:pt>
                <c:pt idx="85">
                  <c:v>7413.9244750199996</c:v>
                </c:pt>
                <c:pt idx="86">
                  <c:v>11335.1707639</c:v>
                </c:pt>
                <c:pt idx="87">
                  <c:v>14994.604078300001</c:v>
                </c:pt>
                <c:pt idx="88">
                  <c:v>17974.744440800001</c:v>
                </c:pt>
                <c:pt idx="89">
                  <c:v>19927.784601200001</c:v>
                </c:pt>
                <c:pt idx="90">
                  <c:v>20761.9008913</c:v>
                </c:pt>
                <c:pt idx="91">
                  <c:v>20689.711667200001</c:v>
                </c:pt>
                <c:pt idx="92">
                  <c:v>19990.9937919</c:v>
                </c:pt>
                <c:pt idx="93">
                  <c:v>18434.3949995</c:v>
                </c:pt>
                <c:pt idx="94">
                  <c:v>15749.910680499999</c:v>
                </c:pt>
                <c:pt idx="95">
                  <c:v>12487.0049755</c:v>
                </c:pt>
                <c:pt idx="96">
                  <c:v>8956.9112560899994</c:v>
                </c:pt>
                <c:pt idx="97">
                  <c:v>5678.1073297100002</c:v>
                </c:pt>
                <c:pt idx="98">
                  <c:v>3318.36692249</c:v>
                </c:pt>
                <c:pt idx="99">
                  <c:v>1862.7957458799999</c:v>
                </c:pt>
                <c:pt idx="100">
                  <c:v>963.28932561099998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3A9-4343-B5F8-7351A5F1D7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908591"/>
        <c:axId val="1055658080"/>
      </c:scatterChart>
      <c:valAx>
        <c:axId val="1043908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658080"/>
        <c:crosses val="autoZero"/>
        <c:crossBetween val="midCat"/>
      </c:valAx>
      <c:valAx>
        <c:axId val="105565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Voltage [V]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908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Torque [Nm]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Torque [Nm]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'0.5 Ohm'!$B$3:$B$53</c:f>
              <c:numCache>
                <c:formatCode>General</c:formatCode>
                <c:ptCount val="51"/>
                <c:pt idx="0">
                  <c:v>0</c:v>
                </c:pt>
                <c:pt idx="1">
                  <c:v>6.6666670000000003E-4</c:v>
                </c:pt>
                <c:pt idx="2">
                  <c:v>1.3333334000000001E-3</c:v>
                </c:pt>
                <c:pt idx="3">
                  <c:v>2.0000001000000001E-3</c:v>
                </c:pt>
                <c:pt idx="4">
                  <c:v>2.6666668000000001E-3</c:v>
                </c:pt>
                <c:pt idx="5">
                  <c:v>3.3333335000000001E-3</c:v>
                </c:pt>
                <c:pt idx="6">
                  <c:v>4.0000002000000002E-3</c:v>
                </c:pt>
                <c:pt idx="7">
                  <c:v>4.6666668999999997E-3</c:v>
                </c:pt>
                <c:pt idx="8">
                  <c:v>5.3333336000000002E-3</c:v>
                </c:pt>
                <c:pt idx="9">
                  <c:v>6.0000002999999998E-3</c:v>
                </c:pt>
                <c:pt idx="10">
                  <c:v>6.6666670000000003E-3</c:v>
                </c:pt>
                <c:pt idx="11">
                  <c:v>7.3333336999999998E-3</c:v>
                </c:pt>
                <c:pt idx="12">
                  <c:v>8.0000004000000003E-3</c:v>
                </c:pt>
                <c:pt idx="13">
                  <c:v>8.6666671000000008E-3</c:v>
                </c:pt>
                <c:pt idx="14">
                  <c:v>9.3333337999999995E-3</c:v>
                </c:pt>
                <c:pt idx="15">
                  <c:v>1.00000005E-2</c:v>
                </c:pt>
                <c:pt idx="16">
                  <c:v>1.06666672E-2</c:v>
                </c:pt>
                <c:pt idx="17">
                  <c:v>1.1333333900000001E-2</c:v>
                </c:pt>
                <c:pt idx="18">
                  <c:v>1.20000006E-2</c:v>
                </c:pt>
                <c:pt idx="19">
                  <c:v>1.26666673E-2</c:v>
                </c:pt>
                <c:pt idx="20">
                  <c:v>1.3333334000000001E-2</c:v>
                </c:pt>
                <c:pt idx="21">
                  <c:v>1.4000000699999999E-2</c:v>
                </c:pt>
                <c:pt idx="22">
                  <c:v>1.46666674E-2</c:v>
                </c:pt>
                <c:pt idx="23">
                  <c:v>1.53333341E-2</c:v>
                </c:pt>
                <c:pt idx="24">
                  <c:v>1.6000000800000001E-2</c:v>
                </c:pt>
                <c:pt idx="25">
                  <c:v>1.6666667499999999E-2</c:v>
                </c:pt>
                <c:pt idx="26">
                  <c:v>1.7333334200000002E-2</c:v>
                </c:pt>
                <c:pt idx="27">
                  <c:v>1.80000009E-2</c:v>
                </c:pt>
                <c:pt idx="28">
                  <c:v>1.8666667599999999E-2</c:v>
                </c:pt>
                <c:pt idx="29">
                  <c:v>1.9333334300000001E-2</c:v>
                </c:pt>
                <c:pt idx="30">
                  <c:v>2.0000001E-2</c:v>
                </c:pt>
                <c:pt idx="31">
                  <c:v>2.0666667699999999E-2</c:v>
                </c:pt>
                <c:pt idx="32">
                  <c:v>2.1333334400000001E-2</c:v>
                </c:pt>
                <c:pt idx="33">
                  <c:v>2.20000011E-2</c:v>
                </c:pt>
                <c:pt idx="34">
                  <c:v>2.2666667800000002E-2</c:v>
                </c:pt>
                <c:pt idx="35">
                  <c:v>2.33333345E-2</c:v>
                </c:pt>
                <c:pt idx="36">
                  <c:v>2.4000001199999999E-2</c:v>
                </c:pt>
                <c:pt idx="37">
                  <c:v>2.4666667900000001E-2</c:v>
                </c:pt>
                <c:pt idx="38">
                  <c:v>2.53333346E-2</c:v>
                </c:pt>
                <c:pt idx="39">
                  <c:v>2.6000001299999999E-2</c:v>
                </c:pt>
                <c:pt idx="40">
                  <c:v>2.6666668000000001E-2</c:v>
                </c:pt>
                <c:pt idx="41">
                  <c:v>2.73333347E-2</c:v>
                </c:pt>
                <c:pt idx="42">
                  <c:v>2.8000001399999998E-2</c:v>
                </c:pt>
                <c:pt idx="43">
                  <c:v>2.8666668100000001E-2</c:v>
                </c:pt>
                <c:pt idx="44">
                  <c:v>2.9333334799999999E-2</c:v>
                </c:pt>
                <c:pt idx="45">
                  <c:v>3.0000001500000002E-2</c:v>
                </c:pt>
                <c:pt idx="46">
                  <c:v>3.06666682E-2</c:v>
                </c:pt>
                <c:pt idx="47">
                  <c:v>3.1333334900000002E-2</c:v>
                </c:pt>
                <c:pt idx="48">
                  <c:v>3.2000001600000001E-2</c:v>
                </c:pt>
                <c:pt idx="49">
                  <c:v>3.26666683E-2</c:v>
                </c:pt>
                <c:pt idx="50">
                  <c:v>3.3333334999999999E-2</c:v>
                </c:pt>
              </c:numCache>
            </c:numRef>
          </c:xVal>
          <c:yVal>
            <c:numRef>
              <c:f>'0.5 Ohm'!$D$3:$D$53</c:f>
              <c:numCache>
                <c:formatCode>0.0</c:formatCode>
                <c:ptCount val="51"/>
                <c:pt idx="0">
                  <c:v>-512.66489716499996</c:v>
                </c:pt>
                <c:pt idx="1">
                  <c:v>-488.39978466700001</c:v>
                </c:pt>
                <c:pt idx="2">
                  <c:v>-411.05384864199999</c:v>
                </c:pt>
                <c:pt idx="3">
                  <c:v>-262.68139639899999</c:v>
                </c:pt>
                <c:pt idx="4">
                  <c:v>-14.1665433396</c:v>
                </c:pt>
                <c:pt idx="5">
                  <c:v>308.929352182</c:v>
                </c:pt>
                <c:pt idx="6">
                  <c:v>612.67624284099998</c:v>
                </c:pt>
                <c:pt idx="7">
                  <c:v>791.26835920099995</c:v>
                </c:pt>
                <c:pt idx="8">
                  <c:v>900.23826645300005</c:v>
                </c:pt>
                <c:pt idx="9">
                  <c:v>1028.7710132699999</c:v>
                </c:pt>
                <c:pt idx="10">
                  <c:v>1191.31513688</c:v>
                </c:pt>
                <c:pt idx="11">
                  <c:v>1344.40591118</c:v>
                </c:pt>
                <c:pt idx="12">
                  <c:v>1438.6721034499999</c:v>
                </c:pt>
                <c:pt idx="13">
                  <c:v>1445.8200093600001</c:v>
                </c:pt>
                <c:pt idx="14">
                  <c:v>1343.71923711</c:v>
                </c:pt>
                <c:pt idx="15">
                  <c:v>1145.61209001</c:v>
                </c:pt>
                <c:pt idx="16">
                  <c:v>879.58352283500005</c:v>
                </c:pt>
                <c:pt idx="17">
                  <c:v>565.10371380399999</c:v>
                </c:pt>
                <c:pt idx="18">
                  <c:v>264.474421818</c:v>
                </c:pt>
                <c:pt idx="19">
                  <c:v>73.702582208300001</c:v>
                </c:pt>
                <c:pt idx="20">
                  <c:v>15.6851730618</c:v>
                </c:pt>
                <c:pt idx="21">
                  <c:v>31.273259265499998</c:v>
                </c:pt>
                <c:pt idx="22">
                  <c:v>80.009239180600005</c:v>
                </c:pt>
                <c:pt idx="23">
                  <c:v>134.32620218299999</c:v>
                </c:pt>
                <c:pt idx="24">
                  <c:v>187.87622388200001</c:v>
                </c:pt>
                <c:pt idx="25">
                  <c:v>234.91744185300001</c:v>
                </c:pt>
                <c:pt idx="26">
                  <c:v>264.17499166699997</c:v>
                </c:pt>
                <c:pt idx="27">
                  <c:v>257.93439695199999</c:v>
                </c:pt>
                <c:pt idx="28">
                  <c:v>187.77837986899999</c:v>
                </c:pt>
                <c:pt idx="29">
                  <c:v>31.649989737999999</c:v>
                </c:pt>
                <c:pt idx="30">
                  <c:v>-198.81063689199999</c:v>
                </c:pt>
                <c:pt idx="31">
                  <c:v>-424.969138251</c:v>
                </c:pt>
                <c:pt idx="32">
                  <c:v>-563.204247506</c:v>
                </c:pt>
                <c:pt idx="33">
                  <c:v>-653.70917228899998</c:v>
                </c:pt>
                <c:pt idx="34">
                  <c:v>-794.83626310900001</c:v>
                </c:pt>
                <c:pt idx="35">
                  <c:v>-989.04187734100003</c:v>
                </c:pt>
                <c:pt idx="36">
                  <c:v>-1178.6638400500001</c:v>
                </c:pt>
                <c:pt idx="37">
                  <c:v>-1298.2114866899999</c:v>
                </c:pt>
                <c:pt idx="38">
                  <c:v>-1321.32938921</c:v>
                </c:pt>
                <c:pt idx="39">
                  <c:v>-1236.5127476299999</c:v>
                </c:pt>
                <c:pt idx="40">
                  <c:v>-1050.2767103799999</c:v>
                </c:pt>
                <c:pt idx="41">
                  <c:v>-791.48370063499999</c:v>
                </c:pt>
                <c:pt idx="42">
                  <c:v>-484.94073507100001</c:v>
                </c:pt>
                <c:pt idx="43">
                  <c:v>-189.37945451900001</c:v>
                </c:pt>
                <c:pt idx="44">
                  <c:v>-25.444353648900002</c:v>
                </c:pt>
                <c:pt idx="45">
                  <c:v>14.4184879373</c:v>
                </c:pt>
                <c:pt idx="46">
                  <c:v>-9.3666770530200001</c:v>
                </c:pt>
                <c:pt idx="47">
                  <c:v>-60.071876205400002</c:v>
                </c:pt>
                <c:pt idx="48">
                  <c:v>-118.522345852</c:v>
                </c:pt>
                <c:pt idx="49">
                  <c:v>-174.697485347</c:v>
                </c:pt>
                <c:pt idx="50">
                  <c:v>-159.57134940099999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07-4DC3-83DE-B843973BA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908591"/>
        <c:axId val="1055658080"/>
      </c:scatterChart>
      <c:valAx>
        <c:axId val="1043908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[s]</a:t>
                </a:r>
              </a:p>
            </c:rich>
          </c:tx>
          <c:layout>
            <c:manualLayout>
              <c:xMode val="edge"/>
              <c:yMode val="edge"/>
              <c:x val="0.48709277802285461"/>
              <c:y val="0.866348554929919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658080"/>
        <c:crosses val="autoZero"/>
        <c:crossBetween val="midCat"/>
      </c:valAx>
      <c:valAx>
        <c:axId val="105565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Torque [Nm]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908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Voltage [V]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Voltage [V]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'0.5 Ohm'!$B$3:$B$53</c:f>
              <c:numCache>
                <c:formatCode>General</c:formatCode>
                <c:ptCount val="51"/>
                <c:pt idx="0">
                  <c:v>0</c:v>
                </c:pt>
                <c:pt idx="1">
                  <c:v>6.6666670000000003E-4</c:v>
                </c:pt>
                <c:pt idx="2">
                  <c:v>1.3333334000000001E-3</c:v>
                </c:pt>
                <c:pt idx="3">
                  <c:v>2.0000001000000001E-3</c:v>
                </c:pt>
                <c:pt idx="4">
                  <c:v>2.6666668000000001E-3</c:v>
                </c:pt>
                <c:pt idx="5">
                  <c:v>3.3333335000000001E-3</c:v>
                </c:pt>
                <c:pt idx="6">
                  <c:v>4.0000002000000002E-3</c:v>
                </c:pt>
                <c:pt idx="7">
                  <c:v>4.6666668999999997E-3</c:v>
                </c:pt>
                <c:pt idx="8">
                  <c:v>5.3333336000000002E-3</c:v>
                </c:pt>
                <c:pt idx="9">
                  <c:v>6.0000002999999998E-3</c:v>
                </c:pt>
                <c:pt idx="10">
                  <c:v>6.6666670000000003E-3</c:v>
                </c:pt>
                <c:pt idx="11">
                  <c:v>7.3333336999999998E-3</c:v>
                </c:pt>
                <c:pt idx="12">
                  <c:v>8.0000004000000003E-3</c:v>
                </c:pt>
                <c:pt idx="13">
                  <c:v>8.6666671000000008E-3</c:v>
                </c:pt>
                <c:pt idx="14">
                  <c:v>9.3333337999999995E-3</c:v>
                </c:pt>
                <c:pt idx="15">
                  <c:v>1.00000005E-2</c:v>
                </c:pt>
                <c:pt idx="16">
                  <c:v>1.06666672E-2</c:v>
                </c:pt>
                <c:pt idx="17">
                  <c:v>1.1333333900000001E-2</c:v>
                </c:pt>
                <c:pt idx="18">
                  <c:v>1.20000006E-2</c:v>
                </c:pt>
                <c:pt idx="19">
                  <c:v>1.26666673E-2</c:v>
                </c:pt>
                <c:pt idx="20">
                  <c:v>1.3333334000000001E-2</c:v>
                </c:pt>
                <c:pt idx="21">
                  <c:v>1.4000000699999999E-2</c:v>
                </c:pt>
                <c:pt idx="22">
                  <c:v>1.46666674E-2</c:v>
                </c:pt>
                <c:pt idx="23">
                  <c:v>1.53333341E-2</c:v>
                </c:pt>
                <c:pt idx="24">
                  <c:v>1.6000000800000001E-2</c:v>
                </c:pt>
                <c:pt idx="25">
                  <c:v>1.6666667499999999E-2</c:v>
                </c:pt>
                <c:pt idx="26">
                  <c:v>1.7333334200000002E-2</c:v>
                </c:pt>
                <c:pt idx="27">
                  <c:v>1.80000009E-2</c:v>
                </c:pt>
                <c:pt idx="28">
                  <c:v>1.8666667599999999E-2</c:v>
                </c:pt>
                <c:pt idx="29">
                  <c:v>1.9333334300000001E-2</c:v>
                </c:pt>
                <c:pt idx="30">
                  <c:v>2.0000001E-2</c:v>
                </c:pt>
                <c:pt idx="31">
                  <c:v>2.0666667699999999E-2</c:v>
                </c:pt>
                <c:pt idx="32">
                  <c:v>2.1333334400000001E-2</c:v>
                </c:pt>
                <c:pt idx="33">
                  <c:v>2.20000011E-2</c:v>
                </c:pt>
                <c:pt idx="34">
                  <c:v>2.2666667800000002E-2</c:v>
                </c:pt>
                <c:pt idx="35">
                  <c:v>2.33333345E-2</c:v>
                </c:pt>
                <c:pt idx="36">
                  <c:v>2.4000001199999999E-2</c:v>
                </c:pt>
                <c:pt idx="37">
                  <c:v>2.4666667900000001E-2</c:v>
                </c:pt>
                <c:pt idx="38">
                  <c:v>2.53333346E-2</c:v>
                </c:pt>
                <c:pt idx="39">
                  <c:v>2.6000001299999999E-2</c:v>
                </c:pt>
                <c:pt idx="40">
                  <c:v>2.6666668000000001E-2</c:v>
                </c:pt>
                <c:pt idx="41">
                  <c:v>2.73333347E-2</c:v>
                </c:pt>
                <c:pt idx="42">
                  <c:v>2.8000001399999998E-2</c:v>
                </c:pt>
                <c:pt idx="43">
                  <c:v>2.8666668100000001E-2</c:v>
                </c:pt>
                <c:pt idx="44">
                  <c:v>2.9333334799999999E-2</c:v>
                </c:pt>
                <c:pt idx="45">
                  <c:v>3.0000001500000002E-2</c:v>
                </c:pt>
                <c:pt idx="46">
                  <c:v>3.06666682E-2</c:v>
                </c:pt>
                <c:pt idx="47">
                  <c:v>3.1333334900000002E-2</c:v>
                </c:pt>
                <c:pt idx="48">
                  <c:v>3.2000001600000001E-2</c:v>
                </c:pt>
                <c:pt idx="49">
                  <c:v>3.26666683E-2</c:v>
                </c:pt>
                <c:pt idx="50">
                  <c:v>3.3333334999999999E-2</c:v>
                </c:pt>
              </c:numCache>
            </c:numRef>
          </c:xVal>
          <c:yVal>
            <c:numRef>
              <c:f>'0.5 Ohm'!$E$3:$E$53</c:f>
              <c:numCache>
                <c:formatCode>0.0</c:formatCode>
                <c:ptCount val="51"/>
                <c:pt idx="0">
                  <c:v>1.6091165704400001E-6</c:v>
                </c:pt>
                <c:pt idx="1">
                  <c:v>-0.78163636432500005</c:v>
                </c:pt>
                <c:pt idx="2">
                  <c:v>-2.7424550225000002</c:v>
                </c:pt>
                <c:pt idx="3">
                  <c:v>-4.8374644700499996</c:v>
                </c:pt>
                <c:pt idx="4">
                  <c:v>-5.6074715338100001</c:v>
                </c:pt>
                <c:pt idx="5">
                  <c:v>-2.7170507448099999</c:v>
                </c:pt>
                <c:pt idx="6">
                  <c:v>3.4622277346199999</c:v>
                </c:pt>
                <c:pt idx="7">
                  <c:v>14.665973425200001</c:v>
                </c:pt>
                <c:pt idx="8">
                  <c:v>28.993903791400001</c:v>
                </c:pt>
                <c:pt idx="9">
                  <c:v>44.441211229300002</c:v>
                </c:pt>
                <c:pt idx="10">
                  <c:v>58.9491443131</c:v>
                </c:pt>
                <c:pt idx="11">
                  <c:v>71.502662790100004</c:v>
                </c:pt>
                <c:pt idx="12">
                  <c:v>81.883113624900005</c:v>
                </c:pt>
                <c:pt idx="13">
                  <c:v>89.7988147871</c:v>
                </c:pt>
                <c:pt idx="14">
                  <c:v>95.131329767899999</c:v>
                </c:pt>
                <c:pt idx="15">
                  <c:v>97.930153907199994</c:v>
                </c:pt>
                <c:pt idx="16">
                  <c:v>98.780154866100006</c:v>
                </c:pt>
                <c:pt idx="17">
                  <c:v>98.321720268799993</c:v>
                </c:pt>
                <c:pt idx="18">
                  <c:v>96.2475059617</c:v>
                </c:pt>
                <c:pt idx="19">
                  <c:v>91.442803203699995</c:v>
                </c:pt>
                <c:pt idx="20">
                  <c:v>83.856434948</c:v>
                </c:pt>
                <c:pt idx="21">
                  <c:v>74.748846286599999</c:v>
                </c:pt>
                <c:pt idx="22">
                  <c:v>65.350683248199999</c:v>
                </c:pt>
                <c:pt idx="23">
                  <c:v>56.648524867200003</c:v>
                </c:pt>
                <c:pt idx="24">
                  <c:v>49.203438519800002</c:v>
                </c:pt>
                <c:pt idx="25">
                  <c:v>43.2814203338</c:v>
                </c:pt>
                <c:pt idx="26">
                  <c:v>39.1174941895</c:v>
                </c:pt>
                <c:pt idx="27">
                  <c:v>36.5271635649</c:v>
                </c:pt>
                <c:pt idx="28">
                  <c:v>34.591495492699998</c:v>
                </c:pt>
                <c:pt idx="29">
                  <c:v>31.817906724</c:v>
                </c:pt>
                <c:pt idx="30">
                  <c:v>26.355917591400001</c:v>
                </c:pt>
                <c:pt idx="31">
                  <c:v>16.4425392821</c:v>
                </c:pt>
                <c:pt idx="32">
                  <c:v>1.84169073708</c:v>
                </c:pt>
                <c:pt idx="33">
                  <c:v>-14.9824137376</c:v>
                </c:pt>
                <c:pt idx="34">
                  <c:v>-32.1973614578</c:v>
                </c:pt>
                <c:pt idx="35">
                  <c:v>-48.135983539199998</c:v>
                </c:pt>
                <c:pt idx="36">
                  <c:v>-61.948832974799998</c:v>
                </c:pt>
                <c:pt idx="37">
                  <c:v>-73.445928675399998</c:v>
                </c:pt>
                <c:pt idx="38">
                  <c:v>-82.419010834299996</c:v>
                </c:pt>
                <c:pt idx="39">
                  <c:v>-88.6036348425</c:v>
                </c:pt>
                <c:pt idx="40">
                  <c:v>-92.320201734799994</c:v>
                </c:pt>
                <c:pt idx="41">
                  <c:v>-93.9102631831</c:v>
                </c:pt>
                <c:pt idx="42">
                  <c:v>-94.250898309600004</c:v>
                </c:pt>
                <c:pt idx="43">
                  <c:v>-92.389412236599995</c:v>
                </c:pt>
                <c:pt idx="44">
                  <c:v>-87.682390839000007</c:v>
                </c:pt>
                <c:pt idx="45">
                  <c:v>-81.499741710500004</c:v>
                </c:pt>
                <c:pt idx="46">
                  <c:v>-72.324448237200002</c:v>
                </c:pt>
                <c:pt idx="47">
                  <c:v>-62.911951872099998</c:v>
                </c:pt>
                <c:pt idx="48">
                  <c:v>-54.234438469600001</c:v>
                </c:pt>
                <c:pt idx="49">
                  <c:v>-46.807240404300003</c:v>
                </c:pt>
                <c:pt idx="50">
                  <c:v>-35.793761939900001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B68-4155-82B2-D9B261B8B0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908591"/>
        <c:axId val="1055658080"/>
      </c:scatterChart>
      <c:valAx>
        <c:axId val="1043908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658080"/>
        <c:crosses val="autoZero"/>
        <c:crossBetween val="midCat"/>
      </c:valAx>
      <c:valAx>
        <c:axId val="105565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Voltage [V]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908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Torque [Nm]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Torque [Nm]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'0.5 Ohm'!$C$3:$C$53</c:f>
              <c:numCache>
                <c:formatCode>0.00</c:formatCode>
                <c:ptCount val="51"/>
                <c:pt idx="0">
                  <c:v>9</c:v>
                </c:pt>
                <c:pt idx="1">
                  <c:v>8.9103999982079998</c:v>
                </c:pt>
                <c:pt idx="2">
                  <c:v>8.6415999928319991</c:v>
                </c:pt>
                <c:pt idx="3">
                  <c:v>8.1935999838719997</c:v>
                </c:pt>
                <c:pt idx="4">
                  <c:v>7.5663999713300001</c:v>
                </c:pt>
                <c:pt idx="5">
                  <c:v>6.7599999551999996</c:v>
                </c:pt>
                <c:pt idx="6">
                  <c:v>5.77439993549</c:v>
                </c:pt>
                <c:pt idx="7">
                  <c:v>4.6671998854099996</c:v>
                </c:pt>
                <c:pt idx="8">
                  <c:v>3.5791998290900002</c:v>
                </c:pt>
                <c:pt idx="9">
                  <c:v>2.5167997763500001</c:v>
                </c:pt>
                <c:pt idx="10">
                  <c:v>1.4799997272000001</c:v>
                </c:pt>
                <c:pt idx="11">
                  <c:v>0.4687996816299993</c:v>
                </c:pt>
                <c:pt idx="12">
                  <c:v>-0.51680036035000043</c:v>
                </c:pt>
                <c:pt idx="13">
                  <c:v>-1.4768003988</c:v>
                </c:pt>
                <c:pt idx="14">
                  <c:v>-2.4112004335999995</c:v>
                </c:pt>
                <c:pt idx="15">
                  <c:v>-3.3200004647999997</c:v>
                </c:pt>
                <c:pt idx="16">
                  <c:v>-4.2032004924000006</c:v>
                </c:pt>
                <c:pt idx="17">
                  <c:v>-5.0608005165000005</c:v>
                </c:pt>
                <c:pt idx="18">
                  <c:v>-5.8928005369999994</c:v>
                </c:pt>
                <c:pt idx="19">
                  <c:v>-6.6960005327999994</c:v>
                </c:pt>
                <c:pt idx="20">
                  <c:v>-7.400000519999999</c:v>
                </c:pt>
                <c:pt idx="21">
                  <c:v>-7.9760005967999987</c:v>
                </c:pt>
                <c:pt idx="22">
                  <c:v>-8.4240007631999987</c:v>
                </c:pt>
                <c:pt idx="23">
                  <c:v>-8.7440010191999988</c:v>
                </c:pt>
                <c:pt idx="24">
                  <c:v>-8.9360013647999992</c:v>
                </c:pt>
                <c:pt idx="25">
                  <c:v>-9.0000017999999997</c:v>
                </c:pt>
                <c:pt idx="26">
                  <c:v>-8.9104023197000011</c:v>
                </c:pt>
                <c:pt idx="27">
                  <c:v>-8.6416025346999987</c:v>
                </c:pt>
                <c:pt idx="28">
                  <c:v>-8.1936024451000016</c:v>
                </c:pt>
                <c:pt idx="29">
                  <c:v>-7.566402050899999</c:v>
                </c:pt>
                <c:pt idx="30">
                  <c:v>-6.7600013519999997</c:v>
                </c:pt>
                <c:pt idx="31">
                  <c:v>-5.7744003485000004</c:v>
                </c:pt>
                <c:pt idx="32">
                  <c:v>-4.6672001289999994</c:v>
                </c:pt>
                <c:pt idx="33">
                  <c:v>-3.5792002186000005</c:v>
                </c:pt>
                <c:pt idx="34">
                  <c:v>-2.5168002902000008</c:v>
                </c:pt>
                <c:pt idx="35">
                  <c:v>-1.4800003440000005</c:v>
                </c:pt>
                <c:pt idx="36">
                  <c:v>-0.46880037983999934</c:v>
                </c:pt>
                <c:pt idx="37">
                  <c:v>0.51679960224000077</c:v>
                </c:pt>
                <c:pt idx="38">
                  <c:v>1.4767996022399998</c:v>
                </c:pt>
                <c:pt idx="39">
                  <c:v>2.4111996201599997</c:v>
                </c:pt>
                <c:pt idx="40">
                  <c:v>3.3199996560000002</c:v>
                </c:pt>
                <c:pt idx="41">
                  <c:v>4.2031997097599998</c:v>
                </c:pt>
                <c:pt idx="42">
                  <c:v>5.0607997814400001</c:v>
                </c:pt>
                <c:pt idx="43">
                  <c:v>5.8927998710399994</c:v>
                </c:pt>
                <c:pt idx="44">
                  <c:v>6.6960000144</c:v>
                </c:pt>
                <c:pt idx="45">
                  <c:v>7.3999995599999995</c:v>
                </c:pt>
                <c:pt idx="46">
                  <c:v>7.9759979663799996</c:v>
                </c:pt>
                <c:pt idx="47">
                  <c:v>8.4239952335569992</c:v>
                </c:pt>
                <c:pt idx="48">
                  <c:v>8.7439913615229994</c:v>
                </c:pt>
                <c:pt idx="49">
                  <c:v>8.9359863502780996</c:v>
                </c:pt>
                <c:pt idx="50">
                  <c:v>8.99998019975307</c:v>
                </c:pt>
              </c:numCache>
            </c:numRef>
          </c:xVal>
          <c:yVal>
            <c:numRef>
              <c:f>'0.5 Ohm'!$D$3:$D$53</c:f>
              <c:numCache>
                <c:formatCode>0.0</c:formatCode>
                <c:ptCount val="51"/>
                <c:pt idx="0">
                  <c:v>-512.66489716499996</c:v>
                </c:pt>
                <c:pt idx="1">
                  <c:v>-488.39978466700001</c:v>
                </c:pt>
                <c:pt idx="2">
                  <c:v>-411.05384864199999</c:v>
                </c:pt>
                <c:pt idx="3">
                  <c:v>-262.68139639899999</c:v>
                </c:pt>
                <c:pt idx="4">
                  <c:v>-14.1665433396</c:v>
                </c:pt>
                <c:pt idx="5">
                  <c:v>308.929352182</c:v>
                </c:pt>
                <c:pt idx="6">
                  <c:v>612.67624284099998</c:v>
                </c:pt>
                <c:pt idx="7">
                  <c:v>791.26835920099995</c:v>
                </c:pt>
                <c:pt idx="8">
                  <c:v>900.23826645300005</c:v>
                </c:pt>
                <c:pt idx="9">
                  <c:v>1028.7710132699999</c:v>
                </c:pt>
                <c:pt idx="10">
                  <c:v>1191.31513688</c:v>
                </c:pt>
                <c:pt idx="11">
                  <c:v>1344.40591118</c:v>
                </c:pt>
                <c:pt idx="12">
                  <c:v>1438.6721034499999</c:v>
                </c:pt>
                <c:pt idx="13">
                  <c:v>1445.8200093600001</c:v>
                </c:pt>
                <c:pt idx="14">
                  <c:v>1343.71923711</c:v>
                </c:pt>
                <c:pt idx="15">
                  <c:v>1145.61209001</c:v>
                </c:pt>
                <c:pt idx="16">
                  <c:v>879.58352283500005</c:v>
                </c:pt>
                <c:pt idx="17">
                  <c:v>565.10371380399999</c:v>
                </c:pt>
                <c:pt idx="18">
                  <c:v>264.474421818</c:v>
                </c:pt>
                <c:pt idx="19">
                  <c:v>73.702582208300001</c:v>
                </c:pt>
                <c:pt idx="20">
                  <c:v>15.6851730618</c:v>
                </c:pt>
                <c:pt idx="21">
                  <c:v>31.273259265499998</c:v>
                </c:pt>
                <c:pt idx="22">
                  <c:v>80.009239180600005</c:v>
                </c:pt>
                <c:pt idx="23">
                  <c:v>134.32620218299999</c:v>
                </c:pt>
                <c:pt idx="24">
                  <c:v>187.87622388200001</c:v>
                </c:pt>
                <c:pt idx="25">
                  <c:v>234.91744185300001</c:v>
                </c:pt>
                <c:pt idx="26">
                  <c:v>264.17499166699997</c:v>
                </c:pt>
                <c:pt idx="27">
                  <c:v>257.93439695199999</c:v>
                </c:pt>
                <c:pt idx="28">
                  <c:v>187.77837986899999</c:v>
                </c:pt>
                <c:pt idx="29">
                  <c:v>31.649989737999999</c:v>
                </c:pt>
                <c:pt idx="30">
                  <c:v>-198.81063689199999</c:v>
                </c:pt>
                <c:pt idx="31">
                  <c:v>-424.969138251</c:v>
                </c:pt>
                <c:pt idx="32">
                  <c:v>-563.204247506</c:v>
                </c:pt>
                <c:pt idx="33">
                  <c:v>-653.70917228899998</c:v>
                </c:pt>
                <c:pt idx="34">
                  <c:v>-794.83626310900001</c:v>
                </c:pt>
                <c:pt idx="35">
                  <c:v>-989.04187734100003</c:v>
                </c:pt>
                <c:pt idx="36">
                  <c:v>-1178.6638400500001</c:v>
                </c:pt>
                <c:pt idx="37">
                  <c:v>-1298.2114866899999</c:v>
                </c:pt>
                <c:pt idx="38">
                  <c:v>-1321.32938921</c:v>
                </c:pt>
                <c:pt idx="39">
                  <c:v>-1236.5127476299999</c:v>
                </c:pt>
                <c:pt idx="40">
                  <c:v>-1050.2767103799999</c:v>
                </c:pt>
                <c:pt idx="41">
                  <c:v>-791.48370063499999</c:v>
                </c:pt>
                <c:pt idx="42">
                  <c:v>-484.94073507100001</c:v>
                </c:pt>
                <c:pt idx="43">
                  <c:v>-189.37945451900001</c:v>
                </c:pt>
                <c:pt idx="44">
                  <c:v>-25.444353648900002</c:v>
                </c:pt>
                <c:pt idx="45">
                  <c:v>14.4184879373</c:v>
                </c:pt>
                <c:pt idx="46">
                  <c:v>-9.3666770530200001</c:v>
                </c:pt>
                <c:pt idx="47">
                  <c:v>-60.071876205400002</c:v>
                </c:pt>
                <c:pt idx="48">
                  <c:v>-118.522345852</c:v>
                </c:pt>
                <c:pt idx="49">
                  <c:v>-174.697485347</c:v>
                </c:pt>
                <c:pt idx="50">
                  <c:v>-159.57134940099999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CD9-47CC-89E5-D10EBAAC47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908591"/>
        <c:axId val="1055658080"/>
      </c:scatterChart>
      <c:valAx>
        <c:axId val="1043908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Angle [Deg]</a:t>
                </a:r>
              </a:p>
            </c:rich>
          </c:tx>
          <c:layout>
            <c:manualLayout>
              <c:xMode val="edge"/>
              <c:yMode val="edge"/>
              <c:x val="0.43784845390105209"/>
              <c:y val="0.872700786151135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658080"/>
        <c:crosses val="autoZero"/>
        <c:crossBetween val="midCat"/>
      </c:valAx>
      <c:valAx>
        <c:axId val="105565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Torque [Nm]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908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[W]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El. Power [W]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'0.5 Ohm'!$B$3:$B$53</c:f>
              <c:numCache>
                <c:formatCode>General</c:formatCode>
                <c:ptCount val="51"/>
                <c:pt idx="0">
                  <c:v>0</c:v>
                </c:pt>
                <c:pt idx="1">
                  <c:v>6.6666670000000003E-4</c:v>
                </c:pt>
                <c:pt idx="2">
                  <c:v>1.3333334000000001E-3</c:v>
                </c:pt>
                <c:pt idx="3">
                  <c:v>2.0000001000000001E-3</c:v>
                </c:pt>
                <c:pt idx="4">
                  <c:v>2.6666668000000001E-3</c:v>
                </c:pt>
                <c:pt idx="5">
                  <c:v>3.3333335000000001E-3</c:v>
                </c:pt>
                <c:pt idx="6">
                  <c:v>4.0000002000000002E-3</c:v>
                </c:pt>
                <c:pt idx="7">
                  <c:v>4.6666668999999997E-3</c:v>
                </c:pt>
                <c:pt idx="8">
                  <c:v>5.3333336000000002E-3</c:v>
                </c:pt>
                <c:pt idx="9">
                  <c:v>6.0000002999999998E-3</c:v>
                </c:pt>
                <c:pt idx="10">
                  <c:v>6.6666670000000003E-3</c:v>
                </c:pt>
                <c:pt idx="11">
                  <c:v>7.3333336999999998E-3</c:v>
                </c:pt>
                <c:pt idx="12">
                  <c:v>8.0000004000000003E-3</c:v>
                </c:pt>
                <c:pt idx="13">
                  <c:v>8.6666671000000008E-3</c:v>
                </c:pt>
                <c:pt idx="14">
                  <c:v>9.3333337999999995E-3</c:v>
                </c:pt>
                <c:pt idx="15">
                  <c:v>1.00000005E-2</c:v>
                </c:pt>
                <c:pt idx="16">
                  <c:v>1.06666672E-2</c:v>
                </c:pt>
                <c:pt idx="17">
                  <c:v>1.1333333900000001E-2</c:v>
                </c:pt>
                <c:pt idx="18">
                  <c:v>1.20000006E-2</c:v>
                </c:pt>
                <c:pt idx="19">
                  <c:v>1.26666673E-2</c:v>
                </c:pt>
                <c:pt idx="20">
                  <c:v>1.3333334000000001E-2</c:v>
                </c:pt>
                <c:pt idx="21">
                  <c:v>1.4000000699999999E-2</c:v>
                </c:pt>
                <c:pt idx="22">
                  <c:v>1.46666674E-2</c:v>
                </c:pt>
                <c:pt idx="23">
                  <c:v>1.53333341E-2</c:v>
                </c:pt>
                <c:pt idx="24">
                  <c:v>1.6000000800000001E-2</c:v>
                </c:pt>
                <c:pt idx="25">
                  <c:v>1.6666667499999999E-2</c:v>
                </c:pt>
                <c:pt idx="26">
                  <c:v>1.7333334200000002E-2</c:v>
                </c:pt>
                <c:pt idx="27">
                  <c:v>1.80000009E-2</c:v>
                </c:pt>
                <c:pt idx="28">
                  <c:v>1.8666667599999999E-2</c:v>
                </c:pt>
                <c:pt idx="29">
                  <c:v>1.9333334300000001E-2</c:v>
                </c:pt>
                <c:pt idx="30">
                  <c:v>2.0000001E-2</c:v>
                </c:pt>
                <c:pt idx="31">
                  <c:v>2.0666667699999999E-2</c:v>
                </c:pt>
                <c:pt idx="32">
                  <c:v>2.1333334400000001E-2</c:v>
                </c:pt>
                <c:pt idx="33">
                  <c:v>2.20000011E-2</c:v>
                </c:pt>
                <c:pt idx="34">
                  <c:v>2.2666667800000002E-2</c:v>
                </c:pt>
                <c:pt idx="35">
                  <c:v>2.33333345E-2</c:v>
                </c:pt>
                <c:pt idx="36">
                  <c:v>2.4000001199999999E-2</c:v>
                </c:pt>
                <c:pt idx="37">
                  <c:v>2.4666667900000001E-2</c:v>
                </c:pt>
                <c:pt idx="38">
                  <c:v>2.53333346E-2</c:v>
                </c:pt>
                <c:pt idx="39">
                  <c:v>2.6000001299999999E-2</c:v>
                </c:pt>
                <c:pt idx="40">
                  <c:v>2.6666668000000001E-2</c:v>
                </c:pt>
                <c:pt idx="41">
                  <c:v>2.73333347E-2</c:v>
                </c:pt>
                <c:pt idx="42">
                  <c:v>2.8000001399999998E-2</c:v>
                </c:pt>
                <c:pt idx="43">
                  <c:v>2.8666668100000001E-2</c:v>
                </c:pt>
                <c:pt idx="44">
                  <c:v>2.9333334799999999E-2</c:v>
                </c:pt>
                <c:pt idx="45">
                  <c:v>3.0000001500000002E-2</c:v>
                </c:pt>
                <c:pt idx="46">
                  <c:v>3.06666682E-2</c:v>
                </c:pt>
                <c:pt idx="47">
                  <c:v>3.1333334900000002E-2</c:v>
                </c:pt>
                <c:pt idx="48">
                  <c:v>3.2000001600000001E-2</c:v>
                </c:pt>
                <c:pt idx="49">
                  <c:v>3.26666683E-2</c:v>
                </c:pt>
                <c:pt idx="50">
                  <c:v>3.3333334999999999E-2</c:v>
                </c:pt>
              </c:numCache>
            </c:numRef>
          </c:xVal>
          <c:yVal>
            <c:numRef>
              <c:f>'0.5 Ohm'!$F$3:$F$53</c:f>
              <c:numCache>
                <c:formatCode>0</c:formatCode>
                <c:ptCount val="51"/>
                <c:pt idx="0">
                  <c:v>1.7261707581799999E-12</c:v>
                </c:pt>
                <c:pt idx="1">
                  <c:v>0.40730276552900002</c:v>
                </c:pt>
                <c:pt idx="2">
                  <c:v>6.8504116863900002</c:v>
                </c:pt>
                <c:pt idx="3">
                  <c:v>29.459100521</c:v>
                </c:pt>
                <c:pt idx="4">
                  <c:v>54.647162542099998</c:v>
                </c:pt>
                <c:pt idx="5">
                  <c:v>36.041257639800001</c:v>
                </c:pt>
                <c:pt idx="6">
                  <c:v>6.6415581274599997</c:v>
                </c:pt>
                <c:pt idx="7">
                  <c:v>185.236491562</c:v>
                </c:pt>
                <c:pt idx="8">
                  <c:v>987.30737071199997</c:v>
                </c:pt>
                <c:pt idx="9">
                  <c:v>2736.1279435599999</c:v>
                </c:pt>
                <c:pt idx="10">
                  <c:v>5379.8628299900001</c:v>
                </c:pt>
                <c:pt idx="11">
                  <c:v>8535.1021259299996</c:v>
                </c:pt>
                <c:pt idx="12">
                  <c:v>11781.5571631</c:v>
                </c:pt>
                <c:pt idx="13">
                  <c:v>14747.7853258</c:v>
                </c:pt>
                <c:pt idx="14">
                  <c:v>17104.318468599999</c:v>
                </c:pt>
                <c:pt idx="15">
                  <c:v>18637.673808799998</c:v>
                </c:pt>
                <c:pt idx="16">
                  <c:v>19347.5932058</c:v>
                </c:pt>
                <c:pt idx="17">
                  <c:v>19424.609617900001</c:v>
                </c:pt>
                <c:pt idx="18">
                  <c:v>18929.3089588</c:v>
                </c:pt>
                <c:pt idx="19">
                  <c:v>17617.673605399999</c:v>
                </c:pt>
                <c:pt idx="20">
                  <c:v>15374.5036122</c:v>
                </c:pt>
                <c:pt idx="21">
                  <c:v>12591.642313</c:v>
                </c:pt>
                <c:pt idx="22">
                  <c:v>9828.6599993500004</c:v>
                </c:pt>
                <c:pt idx="23">
                  <c:v>7454.5246504699999</c:v>
                </c:pt>
                <c:pt idx="24">
                  <c:v>5611.5572948899999</c:v>
                </c:pt>
                <c:pt idx="25">
                  <c:v>4282.5696084900001</c:v>
                </c:pt>
                <c:pt idx="26">
                  <c:v>3397.6802708</c:v>
                </c:pt>
                <c:pt idx="27">
                  <c:v>2862.17542551</c:v>
                </c:pt>
                <c:pt idx="28">
                  <c:v>2529.5563015500002</c:v>
                </c:pt>
                <c:pt idx="29">
                  <c:v>2206.3864838300001</c:v>
                </c:pt>
                <c:pt idx="30">
                  <c:v>1697.0691386200001</c:v>
                </c:pt>
                <c:pt idx="31">
                  <c:v>932.23313362500005</c:v>
                </c:pt>
                <c:pt idx="32">
                  <c:v>202.68733006900001</c:v>
                </c:pt>
                <c:pt idx="33">
                  <c:v>133.514382385</c:v>
                </c:pt>
                <c:pt idx="34">
                  <c:v>1162.35799791</c:v>
                </c:pt>
                <c:pt idx="35">
                  <c:v>3269.0631048499999</c:v>
                </c:pt>
                <c:pt idx="36">
                  <c:v>6091.1325483800001</c:v>
                </c:pt>
                <c:pt idx="37">
                  <c:v>9187.9012760700007</c:v>
                </c:pt>
                <c:pt idx="38">
                  <c:v>12160.359051400001</c:v>
                </c:pt>
                <c:pt idx="39">
                  <c:v>14630.747596200001</c:v>
                </c:pt>
                <c:pt idx="40">
                  <c:v>16369.0194658</c:v>
                </c:pt>
                <c:pt idx="41">
                  <c:v>17341.314414299999</c:v>
                </c:pt>
                <c:pt idx="42">
                  <c:v>17702.3306859</c:v>
                </c:pt>
                <c:pt idx="43">
                  <c:v>17417.880282099999</c:v>
                </c:pt>
                <c:pt idx="44">
                  <c:v>16216.619806500001</c:v>
                </c:pt>
                <c:pt idx="45">
                  <c:v>14317.667845399999</c:v>
                </c:pt>
                <c:pt idx="46">
                  <c:v>11844.9717083</c:v>
                </c:pt>
                <c:pt idx="47">
                  <c:v>9159.2078052399993</c:v>
                </c:pt>
                <c:pt idx="48">
                  <c:v>6874.18825818</c:v>
                </c:pt>
                <c:pt idx="49">
                  <c:v>5113.90431334</c:v>
                </c:pt>
                <c:pt idx="50">
                  <c:v>3431.6789121100001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04C-47F4-AF5E-850B5D4067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908591"/>
        <c:axId val="1055658080"/>
      </c:scatterChart>
      <c:valAx>
        <c:axId val="1043908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658080"/>
        <c:crosses val="autoZero"/>
        <c:crossBetween val="midCat"/>
      </c:valAx>
      <c:valAx>
        <c:axId val="105565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Voltage [V]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908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Torque [Nm]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Torque [Nm]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'0.3 Ohm'!$B$3:$B$53</c:f>
              <c:numCache>
                <c:formatCode>General</c:formatCode>
                <c:ptCount val="51"/>
                <c:pt idx="0">
                  <c:v>0</c:v>
                </c:pt>
                <c:pt idx="1">
                  <c:v>6.6666670000000003E-4</c:v>
                </c:pt>
                <c:pt idx="2">
                  <c:v>1.3333334000000001E-3</c:v>
                </c:pt>
                <c:pt idx="3">
                  <c:v>2.0000001000000001E-3</c:v>
                </c:pt>
                <c:pt idx="4">
                  <c:v>2.6666668000000001E-3</c:v>
                </c:pt>
                <c:pt idx="5">
                  <c:v>3.3333335000000001E-3</c:v>
                </c:pt>
                <c:pt idx="6">
                  <c:v>4.0000002000000002E-3</c:v>
                </c:pt>
                <c:pt idx="7">
                  <c:v>4.6666668999999997E-3</c:v>
                </c:pt>
                <c:pt idx="8">
                  <c:v>5.3333336000000002E-3</c:v>
                </c:pt>
                <c:pt idx="9">
                  <c:v>6.0000002999999998E-3</c:v>
                </c:pt>
                <c:pt idx="10">
                  <c:v>6.6666670000000003E-3</c:v>
                </c:pt>
                <c:pt idx="11">
                  <c:v>7.3333336999999998E-3</c:v>
                </c:pt>
                <c:pt idx="12">
                  <c:v>8.0000004000000003E-3</c:v>
                </c:pt>
                <c:pt idx="13">
                  <c:v>8.6666671000000008E-3</c:v>
                </c:pt>
                <c:pt idx="14">
                  <c:v>9.3333337999999995E-3</c:v>
                </c:pt>
                <c:pt idx="15">
                  <c:v>1.00000005E-2</c:v>
                </c:pt>
                <c:pt idx="16">
                  <c:v>1.06666672E-2</c:v>
                </c:pt>
                <c:pt idx="17">
                  <c:v>1.1333333900000001E-2</c:v>
                </c:pt>
                <c:pt idx="18">
                  <c:v>1.20000006E-2</c:v>
                </c:pt>
                <c:pt idx="19">
                  <c:v>1.26666673E-2</c:v>
                </c:pt>
                <c:pt idx="20">
                  <c:v>1.3333334000000001E-2</c:v>
                </c:pt>
                <c:pt idx="21">
                  <c:v>1.4000000699999999E-2</c:v>
                </c:pt>
                <c:pt idx="22">
                  <c:v>1.46666674E-2</c:v>
                </c:pt>
                <c:pt idx="23">
                  <c:v>1.53333341E-2</c:v>
                </c:pt>
                <c:pt idx="24">
                  <c:v>1.6000000800000001E-2</c:v>
                </c:pt>
                <c:pt idx="25">
                  <c:v>1.6666667499999999E-2</c:v>
                </c:pt>
                <c:pt idx="26">
                  <c:v>1.7333334200000002E-2</c:v>
                </c:pt>
                <c:pt idx="27">
                  <c:v>1.80000009E-2</c:v>
                </c:pt>
                <c:pt idx="28">
                  <c:v>1.8666667599999999E-2</c:v>
                </c:pt>
                <c:pt idx="29">
                  <c:v>1.9333334300000001E-2</c:v>
                </c:pt>
                <c:pt idx="30">
                  <c:v>2.0000001E-2</c:v>
                </c:pt>
                <c:pt idx="31">
                  <c:v>2.0666667699999999E-2</c:v>
                </c:pt>
                <c:pt idx="32">
                  <c:v>2.1333334400000001E-2</c:v>
                </c:pt>
                <c:pt idx="33">
                  <c:v>2.20000011E-2</c:v>
                </c:pt>
                <c:pt idx="34">
                  <c:v>2.2666667800000002E-2</c:v>
                </c:pt>
                <c:pt idx="35">
                  <c:v>2.33333345E-2</c:v>
                </c:pt>
                <c:pt idx="36">
                  <c:v>2.4000001199999999E-2</c:v>
                </c:pt>
                <c:pt idx="37">
                  <c:v>2.4666667900000001E-2</c:v>
                </c:pt>
                <c:pt idx="38">
                  <c:v>2.53333346E-2</c:v>
                </c:pt>
                <c:pt idx="39">
                  <c:v>2.6000001299999999E-2</c:v>
                </c:pt>
                <c:pt idx="40">
                  <c:v>2.6666668000000001E-2</c:v>
                </c:pt>
                <c:pt idx="41">
                  <c:v>2.73333347E-2</c:v>
                </c:pt>
                <c:pt idx="42">
                  <c:v>2.8000001399999998E-2</c:v>
                </c:pt>
                <c:pt idx="43">
                  <c:v>2.8666668100000001E-2</c:v>
                </c:pt>
                <c:pt idx="44">
                  <c:v>2.9333334799999999E-2</c:v>
                </c:pt>
                <c:pt idx="45">
                  <c:v>3.0000001500000002E-2</c:v>
                </c:pt>
                <c:pt idx="46">
                  <c:v>3.06666682E-2</c:v>
                </c:pt>
                <c:pt idx="47">
                  <c:v>3.1333334900000002E-2</c:v>
                </c:pt>
                <c:pt idx="48">
                  <c:v>3.2000001600000001E-2</c:v>
                </c:pt>
                <c:pt idx="49">
                  <c:v>3.26666683E-2</c:v>
                </c:pt>
                <c:pt idx="50">
                  <c:v>3.3333334999999999E-2</c:v>
                </c:pt>
              </c:numCache>
            </c:numRef>
          </c:xVal>
          <c:yVal>
            <c:numRef>
              <c:f>'0.3 Ohm'!$D$3:$D$53</c:f>
              <c:numCache>
                <c:formatCode>0.0</c:formatCode>
                <c:ptCount val="51"/>
                <c:pt idx="0">
                  <c:v>-512.66406283599997</c:v>
                </c:pt>
                <c:pt idx="1">
                  <c:v>-488.22774226799999</c:v>
                </c:pt>
                <c:pt idx="2">
                  <c:v>-410.41924181500002</c:v>
                </c:pt>
                <c:pt idx="3">
                  <c:v>-261.77001843800002</c:v>
                </c:pt>
                <c:pt idx="4">
                  <c:v>-14.043589426500001</c:v>
                </c:pt>
                <c:pt idx="5">
                  <c:v>307.28314026700002</c:v>
                </c:pt>
                <c:pt idx="6">
                  <c:v>610.30110874800005</c:v>
                </c:pt>
                <c:pt idx="7">
                  <c:v>793.92557476499996</c:v>
                </c:pt>
                <c:pt idx="8">
                  <c:v>918.526325466</c:v>
                </c:pt>
                <c:pt idx="9">
                  <c:v>1073.58140368</c:v>
                </c:pt>
                <c:pt idx="10">
                  <c:v>1269.19601364</c:v>
                </c:pt>
                <c:pt idx="11">
                  <c:v>1457.8424303300001</c:v>
                </c:pt>
                <c:pt idx="12">
                  <c:v>1585.75774505</c:v>
                </c:pt>
                <c:pt idx="13">
                  <c:v>1619.2512838800001</c:v>
                </c:pt>
                <c:pt idx="14">
                  <c:v>1532.7633406</c:v>
                </c:pt>
                <c:pt idx="15">
                  <c:v>1339.07322131</c:v>
                </c:pt>
                <c:pt idx="16">
                  <c:v>1070.73842562</c:v>
                </c:pt>
                <c:pt idx="17">
                  <c:v>752.96336775999998</c:v>
                </c:pt>
                <c:pt idx="18">
                  <c:v>418.18528769900001</c:v>
                </c:pt>
                <c:pt idx="19">
                  <c:v>160.46215472200001</c:v>
                </c:pt>
                <c:pt idx="20">
                  <c:v>27.371815317799999</c:v>
                </c:pt>
                <c:pt idx="21">
                  <c:v>-25.488211985500001</c:v>
                </c:pt>
                <c:pt idx="22">
                  <c:v>-30.6325656006</c:v>
                </c:pt>
                <c:pt idx="23">
                  <c:v>-13.9575358644</c:v>
                </c:pt>
                <c:pt idx="24">
                  <c:v>18.389539554599999</c:v>
                </c:pt>
                <c:pt idx="25">
                  <c:v>59.618969601899998</c:v>
                </c:pt>
                <c:pt idx="26">
                  <c:v>101.065687102</c:v>
                </c:pt>
                <c:pt idx="27">
                  <c:v>127.35005723</c:v>
                </c:pt>
                <c:pt idx="28">
                  <c:v>109.773996113</c:v>
                </c:pt>
                <c:pt idx="29">
                  <c:v>24.539305411200001</c:v>
                </c:pt>
                <c:pt idx="30">
                  <c:v>-120.223777437</c:v>
                </c:pt>
                <c:pt idx="31">
                  <c:v>-259.490112872</c:v>
                </c:pt>
                <c:pt idx="32">
                  <c:v>-340.29734938899998</c:v>
                </c:pt>
                <c:pt idx="33">
                  <c:v>-411.19223606700001</c:v>
                </c:pt>
                <c:pt idx="34">
                  <c:v>-568.90767871000003</c:v>
                </c:pt>
                <c:pt idx="35">
                  <c:v>-804.27957237299995</c:v>
                </c:pt>
                <c:pt idx="36">
                  <c:v>-1047.4223688100001</c:v>
                </c:pt>
                <c:pt idx="37">
                  <c:v>-1225.7774429200001</c:v>
                </c:pt>
                <c:pt idx="38">
                  <c:v>-1304.7595922600001</c:v>
                </c:pt>
                <c:pt idx="39">
                  <c:v>-1266.57135907</c:v>
                </c:pt>
                <c:pt idx="40">
                  <c:v>-1114.6350954100001</c:v>
                </c:pt>
                <c:pt idx="41">
                  <c:v>-879.49282409900002</c:v>
                </c:pt>
                <c:pt idx="42">
                  <c:v>-587.58967289199995</c:v>
                </c:pt>
                <c:pt idx="43">
                  <c:v>-281.96940470599998</c:v>
                </c:pt>
                <c:pt idx="44">
                  <c:v>-81.930225671499997</c:v>
                </c:pt>
                <c:pt idx="45">
                  <c:v>6.2955011231300002</c:v>
                </c:pt>
                <c:pt idx="46">
                  <c:v>32.611531981500001</c:v>
                </c:pt>
                <c:pt idx="47">
                  <c:v>22.936095693599999</c:v>
                </c:pt>
                <c:pt idx="48">
                  <c:v>-6.3923125949699999</c:v>
                </c:pt>
                <c:pt idx="49">
                  <c:v>-45.922552182099999</c:v>
                </c:pt>
                <c:pt idx="50">
                  <c:v>-70.465408337400007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1CF-4B36-B43A-B69FB2840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908591"/>
        <c:axId val="1055658080"/>
      </c:scatterChart>
      <c:valAx>
        <c:axId val="1043908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[s]</a:t>
                </a:r>
              </a:p>
            </c:rich>
          </c:tx>
          <c:layout>
            <c:manualLayout>
              <c:xMode val="edge"/>
              <c:yMode val="edge"/>
              <c:x val="0.48709277802285461"/>
              <c:y val="0.866348554929919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658080"/>
        <c:crosses val="autoZero"/>
        <c:crossBetween val="midCat"/>
      </c:valAx>
      <c:valAx>
        <c:axId val="105565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Torque [Nm]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908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Voltage [V]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Voltage [V]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'0.3 Ohm'!$B$3:$B$53</c:f>
              <c:numCache>
                <c:formatCode>General</c:formatCode>
                <c:ptCount val="51"/>
                <c:pt idx="0">
                  <c:v>0</c:v>
                </c:pt>
                <c:pt idx="1">
                  <c:v>6.6666670000000003E-4</c:v>
                </c:pt>
                <c:pt idx="2">
                  <c:v>1.3333334000000001E-3</c:v>
                </c:pt>
                <c:pt idx="3">
                  <c:v>2.0000001000000001E-3</c:v>
                </c:pt>
                <c:pt idx="4">
                  <c:v>2.6666668000000001E-3</c:v>
                </c:pt>
                <c:pt idx="5">
                  <c:v>3.3333335000000001E-3</c:v>
                </c:pt>
                <c:pt idx="6">
                  <c:v>4.0000002000000002E-3</c:v>
                </c:pt>
                <c:pt idx="7">
                  <c:v>4.6666668999999997E-3</c:v>
                </c:pt>
                <c:pt idx="8">
                  <c:v>5.3333336000000002E-3</c:v>
                </c:pt>
                <c:pt idx="9">
                  <c:v>6.0000002999999998E-3</c:v>
                </c:pt>
                <c:pt idx="10">
                  <c:v>6.6666670000000003E-3</c:v>
                </c:pt>
                <c:pt idx="11">
                  <c:v>7.3333336999999998E-3</c:v>
                </c:pt>
                <c:pt idx="12">
                  <c:v>8.0000004000000003E-3</c:v>
                </c:pt>
                <c:pt idx="13">
                  <c:v>8.6666671000000008E-3</c:v>
                </c:pt>
                <c:pt idx="14">
                  <c:v>9.3333337999999995E-3</c:v>
                </c:pt>
                <c:pt idx="15">
                  <c:v>1.00000005E-2</c:v>
                </c:pt>
                <c:pt idx="16">
                  <c:v>1.06666672E-2</c:v>
                </c:pt>
                <c:pt idx="17">
                  <c:v>1.1333333900000001E-2</c:v>
                </c:pt>
                <c:pt idx="18">
                  <c:v>1.20000006E-2</c:v>
                </c:pt>
                <c:pt idx="19">
                  <c:v>1.26666673E-2</c:v>
                </c:pt>
                <c:pt idx="20">
                  <c:v>1.3333334000000001E-2</c:v>
                </c:pt>
                <c:pt idx="21">
                  <c:v>1.4000000699999999E-2</c:v>
                </c:pt>
                <c:pt idx="22">
                  <c:v>1.46666674E-2</c:v>
                </c:pt>
                <c:pt idx="23">
                  <c:v>1.53333341E-2</c:v>
                </c:pt>
                <c:pt idx="24">
                  <c:v>1.6000000800000001E-2</c:v>
                </c:pt>
                <c:pt idx="25">
                  <c:v>1.6666667499999999E-2</c:v>
                </c:pt>
                <c:pt idx="26">
                  <c:v>1.7333334200000002E-2</c:v>
                </c:pt>
                <c:pt idx="27">
                  <c:v>1.80000009E-2</c:v>
                </c:pt>
                <c:pt idx="28">
                  <c:v>1.8666667599999999E-2</c:v>
                </c:pt>
                <c:pt idx="29">
                  <c:v>1.9333334300000001E-2</c:v>
                </c:pt>
                <c:pt idx="30">
                  <c:v>2.0000001E-2</c:v>
                </c:pt>
                <c:pt idx="31">
                  <c:v>2.0666667699999999E-2</c:v>
                </c:pt>
                <c:pt idx="32">
                  <c:v>2.1333334400000001E-2</c:v>
                </c:pt>
                <c:pt idx="33">
                  <c:v>2.20000011E-2</c:v>
                </c:pt>
                <c:pt idx="34">
                  <c:v>2.2666667800000002E-2</c:v>
                </c:pt>
                <c:pt idx="35">
                  <c:v>2.33333345E-2</c:v>
                </c:pt>
                <c:pt idx="36">
                  <c:v>2.4000001199999999E-2</c:v>
                </c:pt>
                <c:pt idx="37">
                  <c:v>2.4666667900000001E-2</c:v>
                </c:pt>
                <c:pt idx="38">
                  <c:v>2.53333346E-2</c:v>
                </c:pt>
                <c:pt idx="39">
                  <c:v>2.6000001299999999E-2</c:v>
                </c:pt>
                <c:pt idx="40">
                  <c:v>2.6666668000000001E-2</c:v>
                </c:pt>
                <c:pt idx="41">
                  <c:v>2.73333347E-2</c:v>
                </c:pt>
                <c:pt idx="42">
                  <c:v>2.8000001399999998E-2</c:v>
                </c:pt>
                <c:pt idx="43">
                  <c:v>2.8666668100000001E-2</c:v>
                </c:pt>
                <c:pt idx="44">
                  <c:v>2.9333334799999999E-2</c:v>
                </c:pt>
                <c:pt idx="45">
                  <c:v>3.0000001500000002E-2</c:v>
                </c:pt>
                <c:pt idx="46">
                  <c:v>3.06666682E-2</c:v>
                </c:pt>
                <c:pt idx="47">
                  <c:v>3.1333334900000002E-2</c:v>
                </c:pt>
                <c:pt idx="48">
                  <c:v>3.2000001600000001E-2</c:v>
                </c:pt>
                <c:pt idx="49">
                  <c:v>3.26666683E-2</c:v>
                </c:pt>
                <c:pt idx="50">
                  <c:v>3.3333334999999999E-2</c:v>
                </c:pt>
              </c:numCache>
            </c:numRef>
          </c:xVal>
          <c:yVal>
            <c:numRef>
              <c:f>'0.3 Ohm'!$E$3:$E$53</c:f>
              <c:numCache>
                <c:formatCode>0.0</c:formatCode>
                <c:ptCount val="51"/>
                <c:pt idx="0">
                  <c:v>5.4420210073999997E-6</c:v>
                </c:pt>
                <c:pt idx="1">
                  <c:v>-0.48734725933200002</c:v>
                </c:pt>
                <c:pt idx="2">
                  <c:v>-1.72722849115</c:v>
                </c:pt>
                <c:pt idx="3">
                  <c:v>-3.0954634598799999</c:v>
                </c:pt>
                <c:pt idx="4">
                  <c:v>-3.6830683200799998</c:v>
                </c:pt>
                <c:pt idx="5">
                  <c:v>-1.9727725388199999</c:v>
                </c:pt>
                <c:pt idx="6">
                  <c:v>1.8678098007699999</c:v>
                </c:pt>
                <c:pt idx="7">
                  <c:v>8.9453818863999999</c:v>
                </c:pt>
                <c:pt idx="8">
                  <c:v>18.134453411799999</c:v>
                </c:pt>
                <c:pt idx="9">
                  <c:v>28.236187783599998</c:v>
                </c:pt>
                <c:pt idx="10">
                  <c:v>37.981532890700002</c:v>
                </c:pt>
                <c:pt idx="11">
                  <c:v>46.664580487899997</c:v>
                </c:pt>
                <c:pt idx="12">
                  <c:v>54.084114424799999</c:v>
                </c:pt>
                <c:pt idx="13">
                  <c:v>60.047749984200003</c:v>
                </c:pt>
                <c:pt idx="14">
                  <c:v>64.426994170200004</c:v>
                </c:pt>
                <c:pt idx="15">
                  <c:v>67.195267818100007</c:v>
                </c:pt>
                <c:pt idx="16">
                  <c:v>68.5893612725</c:v>
                </c:pt>
                <c:pt idx="17">
                  <c:v>68.975372351499999</c:v>
                </c:pt>
                <c:pt idx="18">
                  <c:v>68.456900320599999</c:v>
                </c:pt>
                <c:pt idx="19">
                  <c:v>66.325023098200006</c:v>
                </c:pt>
                <c:pt idx="20">
                  <c:v>62.3891578518</c:v>
                </c:pt>
                <c:pt idx="21">
                  <c:v>57.379435192199999</c:v>
                </c:pt>
                <c:pt idx="22">
                  <c:v>52.0424011255</c:v>
                </c:pt>
                <c:pt idx="23">
                  <c:v>46.979362011699997</c:v>
                </c:pt>
                <c:pt idx="24">
                  <c:v>42.553478611999999</c:v>
                </c:pt>
                <c:pt idx="25">
                  <c:v>38.955196969500001</c:v>
                </c:pt>
                <c:pt idx="26">
                  <c:v>36.330494606599999</c:v>
                </c:pt>
                <c:pt idx="27">
                  <c:v>34.585537367599997</c:v>
                </c:pt>
                <c:pt idx="28">
                  <c:v>33.191727609799997</c:v>
                </c:pt>
                <c:pt idx="29">
                  <c:v>31.283406291999999</c:v>
                </c:pt>
                <c:pt idx="30">
                  <c:v>27.772446596000002</c:v>
                </c:pt>
                <c:pt idx="31">
                  <c:v>21.327390937800001</c:v>
                </c:pt>
                <c:pt idx="32">
                  <c:v>11.501170714200001</c:v>
                </c:pt>
                <c:pt idx="33">
                  <c:v>0.13245793026200001</c:v>
                </c:pt>
                <c:pt idx="34">
                  <c:v>-11.573977667699999</c:v>
                </c:pt>
                <c:pt idx="35">
                  <c:v>-22.741867309700002</c:v>
                </c:pt>
                <c:pt idx="36">
                  <c:v>-32.860707661200003</c:v>
                </c:pt>
                <c:pt idx="37">
                  <c:v>-41.655827516199999</c:v>
                </c:pt>
                <c:pt idx="38">
                  <c:v>-48.870688449100001</c:v>
                </c:pt>
                <c:pt idx="39">
                  <c:v>-54.307091271300003</c:v>
                </c:pt>
                <c:pt idx="40">
                  <c:v>-58.123362306399997</c:v>
                </c:pt>
                <c:pt idx="41">
                  <c:v>-60.444787003999998</c:v>
                </c:pt>
                <c:pt idx="42">
                  <c:v>-61.836446915499998</c:v>
                </c:pt>
                <c:pt idx="43">
                  <c:v>-61.833809191500002</c:v>
                </c:pt>
                <c:pt idx="44">
                  <c:v>-60.019749859299999</c:v>
                </c:pt>
                <c:pt idx="45">
                  <c:v>-57.191247708399999</c:v>
                </c:pt>
                <c:pt idx="46">
                  <c:v>-52.374920635099997</c:v>
                </c:pt>
                <c:pt idx="47">
                  <c:v>-47.287281971399999</c:v>
                </c:pt>
                <c:pt idx="48">
                  <c:v>-42.479151936800001</c:v>
                </c:pt>
                <c:pt idx="49">
                  <c:v>-38.245531216800003</c:v>
                </c:pt>
                <c:pt idx="50">
                  <c:v>-34.080039520600003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82-47A7-9BB7-D8EF620C12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908591"/>
        <c:axId val="1055658080"/>
      </c:scatterChart>
      <c:valAx>
        <c:axId val="1043908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658080"/>
        <c:crosses val="autoZero"/>
        <c:crossBetween val="midCat"/>
      </c:valAx>
      <c:valAx>
        <c:axId val="105565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Voltage [V]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908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Torque [Nm]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Torque [Nm]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'0.3 Ohm'!$C$3:$C$53</c:f>
              <c:numCache>
                <c:formatCode>0.00</c:formatCode>
                <c:ptCount val="51"/>
                <c:pt idx="0">
                  <c:v>9</c:v>
                </c:pt>
                <c:pt idx="1">
                  <c:v>8.9103999982079998</c:v>
                </c:pt>
                <c:pt idx="2">
                  <c:v>8.6415999928319991</c:v>
                </c:pt>
                <c:pt idx="3">
                  <c:v>8.1935999838719997</c:v>
                </c:pt>
                <c:pt idx="4">
                  <c:v>7.5663999713300001</c:v>
                </c:pt>
                <c:pt idx="5">
                  <c:v>6.7599999551999996</c:v>
                </c:pt>
                <c:pt idx="6">
                  <c:v>5.77439993549</c:v>
                </c:pt>
                <c:pt idx="7">
                  <c:v>4.6671998854099996</c:v>
                </c:pt>
                <c:pt idx="8">
                  <c:v>3.5791998290900002</c:v>
                </c:pt>
                <c:pt idx="9">
                  <c:v>2.5167997763500001</c:v>
                </c:pt>
                <c:pt idx="10">
                  <c:v>1.4799997272000001</c:v>
                </c:pt>
                <c:pt idx="11">
                  <c:v>0.4687996816299993</c:v>
                </c:pt>
                <c:pt idx="12">
                  <c:v>-0.51680036035000043</c:v>
                </c:pt>
                <c:pt idx="13">
                  <c:v>-1.4768003988</c:v>
                </c:pt>
                <c:pt idx="14">
                  <c:v>-2.4112004335999995</c:v>
                </c:pt>
                <c:pt idx="15">
                  <c:v>-3.3200004647999997</c:v>
                </c:pt>
                <c:pt idx="16">
                  <c:v>-4.2032004924000006</c:v>
                </c:pt>
                <c:pt idx="17">
                  <c:v>-5.0608005165000005</c:v>
                </c:pt>
                <c:pt idx="18">
                  <c:v>-5.8928005369999994</c:v>
                </c:pt>
                <c:pt idx="19">
                  <c:v>-6.6960005327999994</c:v>
                </c:pt>
                <c:pt idx="20">
                  <c:v>-7.400000519999999</c:v>
                </c:pt>
                <c:pt idx="21">
                  <c:v>-7.9760005967999987</c:v>
                </c:pt>
                <c:pt idx="22">
                  <c:v>-8.4240007631999987</c:v>
                </c:pt>
                <c:pt idx="23">
                  <c:v>-8.7440010191999988</c:v>
                </c:pt>
                <c:pt idx="24">
                  <c:v>-8.9360013647999992</c:v>
                </c:pt>
                <c:pt idx="25">
                  <c:v>-9.0000017999999997</c:v>
                </c:pt>
                <c:pt idx="26">
                  <c:v>-8.9104023197000011</c:v>
                </c:pt>
                <c:pt idx="27">
                  <c:v>-8.6416025346999987</c:v>
                </c:pt>
                <c:pt idx="28">
                  <c:v>-8.1936024451000016</c:v>
                </c:pt>
                <c:pt idx="29">
                  <c:v>-7.566402050899999</c:v>
                </c:pt>
                <c:pt idx="30">
                  <c:v>-6.7600013519999997</c:v>
                </c:pt>
                <c:pt idx="31">
                  <c:v>-5.7744003485000004</c:v>
                </c:pt>
                <c:pt idx="32">
                  <c:v>-4.6672001289999994</c:v>
                </c:pt>
                <c:pt idx="33">
                  <c:v>-3.5792002186000005</c:v>
                </c:pt>
                <c:pt idx="34">
                  <c:v>-2.5168002902000008</c:v>
                </c:pt>
                <c:pt idx="35">
                  <c:v>-1.4800003440000005</c:v>
                </c:pt>
                <c:pt idx="36">
                  <c:v>-0.46880037983999934</c:v>
                </c:pt>
                <c:pt idx="37">
                  <c:v>0.51679960224000077</c:v>
                </c:pt>
                <c:pt idx="38">
                  <c:v>1.4767996022399998</c:v>
                </c:pt>
                <c:pt idx="39">
                  <c:v>2.4111996201599997</c:v>
                </c:pt>
                <c:pt idx="40">
                  <c:v>3.3199996560000002</c:v>
                </c:pt>
                <c:pt idx="41">
                  <c:v>4.2031997097599998</c:v>
                </c:pt>
                <c:pt idx="42">
                  <c:v>5.0607997814400001</c:v>
                </c:pt>
                <c:pt idx="43">
                  <c:v>5.8927998710399994</c:v>
                </c:pt>
                <c:pt idx="44">
                  <c:v>6.6960000144</c:v>
                </c:pt>
                <c:pt idx="45">
                  <c:v>7.3999995599999995</c:v>
                </c:pt>
                <c:pt idx="46">
                  <c:v>7.9759979663799996</c:v>
                </c:pt>
                <c:pt idx="47">
                  <c:v>8.4239952335569992</c:v>
                </c:pt>
                <c:pt idx="48">
                  <c:v>8.7439913615229994</c:v>
                </c:pt>
                <c:pt idx="49">
                  <c:v>8.9359863502780996</c:v>
                </c:pt>
                <c:pt idx="50">
                  <c:v>8.99998019975307</c:v>
                </c:pt>
              </c:numCache>
            </c:numRef>
          </c:xVal>
          <c:yVal>
            <c:numRef>
              <c:f>'0.3 Ohm'!$D$3:$D$53</c:f>
              <c:numCache>
                <c:formatCode>0.0</c:formatCode>
                <c:ptCount val="51"/>
                <c:pt idx="0">
                  <c:v>-512.66406283599997</c:v>
                </c:pt>
                <c:pt idx="1">
                  <c:v>-488.22774226799999</c:v>
                </c:pt>
                <c:pt idx="2">
                  <c:v>-410.41924181500002</c:v>
                </c:pt>
                <c:pt idx="3">
                  <c:v>-261.77001843800002</c:v>
                </c:pt>
                <c:pt idx="4">
                  <c:v>-14.043589426500001</c:v>
                </c:pt>
                <c:pt idx="5">
                  <c:v>307.28314026700002</c:v>
                </c:pt>
                <c:pt idx="6">
                  <c:v>610.30110874800005</c:v>
                </c:pt>
                <c:pt idx="7">
                  <c:v>793.92557476499996</c:v>
                </c:pt>
                <c:pt idx="8">
                  <c:v>918.526325466</c:v>
                </c:pt>
                <c:pt idx="9">
                  <c:v>1073.58140368</c:v>
                </c:pt>
                <c:pt idx="10">
                  <c:v>1269.19601364</c:v>
                </c:pt>
                <c:pt idx="11">
                  <c:v>1457.8424303300001</c:v>
                </c:pt>
                <c:pt idx="12">
                  <c:v>1585.75774505</c:v>
                </c:pt>
                <c:pt idx="13">
                  <c:v>1619.2512838800001</c:v>
                </c:pt>
                <c:pt idx="14">
                  <c:v>1532.7633406</c:v>
                </c:pt>
                <c:pt idx="15">
                  <c:v>1339.07322131</c:v>
                </c:pt>
                <c:pt idx="16">
                  <c:v>1070.73842562</c:v>
                </c:pt>
                <c:pt idx="17">
                  <c:v>752.96336775999998</c:v>
                </c:pt>
                <c:pt idx="18">
                  <c:v>418.18528769900001</c:v>
                </c:pt>
                <c:pt idx="19">
                  <c:v>160.46215472200001</c:v>
                </c:pt>
                <c:pt idx="20">
                  <c:v>27.371815317799999</c:v>
                </c:pt>
                <c:pt idx="21">
                  <c:v>-25.488211985500001</c:v>
                </c:pt>
                <c:pt idx="22">
                  <c:v>-30.6325656006</c:v>
                </c:pt>
                <c:pt idx="23">
                  <c:v>-13.9575358644</c:v>
                </c:pt>
                <c:pt idx="24">
                  <c:v>18.389539554599999</c:v>
                </c:pt>
                <c:pt idx="25">
                  <c:v>59.618969601899998</c:v>
                </c:pt>
                <c:pt idx="26">
                  <c:v>101.065687102</c:v>
                </c:pt>
                <c:pt idx="27">
                  <c:v>127.35005723</c:v>
                </c:pt>
                <c:pt idx="28">
                  <c:v>109.773996113</c:v>
                </c:pt>
                <c:pt idx="29">
                  <c:v>24.539305411200001</c:v>
                </c:pt>
                <c:pt idx="30">
                  <c:v>-120.223777437</c:v>
                </c:pt>
                <c:pt idx="31">
                  <c:v>-259.490112872</c:v>
                </c:pt>
                <c:pt idx="32">
                  <c:v>-340.29734938899998</c:v>
                </c:pt>
                <c:pt idx="33">
                  <c:v>-411.19223606700001</c:v>
                </c:pt>
                <c:pt idx="34">
                  <c:v>-568.90767871000003</c:v>
                </c:pt>
                <c:pt idx="35">
                  <c:v>-804.27957237299995</c:v>
                </c:pt>
                <c:pt idx="36">
                  <c:v>-1047.4223688100001</c:v>
                </c:pt>
                <c:pt idx="37">
                  <c:v>-1225.7774429200001</c:v>
                </c:pt>
                <c:pt idx="38">
                  <c:v>-1304.7595922600001</c:v>
                </c:pt>
                <c:pt idx="39">
                  <c:v>-1266.57135907</c:v>
                </c:pt>
                <c:pt idx="40">
                  <c:v>-1114.6350954100001</c:v>
                </c:pt>
                <c:pt idx="41">
                  <c:v>-879.49282409900002</c:v>
                </c:pt>
                <c:pt idx="42">
                  <c:v>-587.58967289199995</c:v>
                </c:pt>
                <c:pt idx="43">
                  <c:v>-281.96940470599998</c:v>
                </c:pt>
                <c:pt idx="44">
                  <c:v>-81.930225671499997</c:v>
                </c:pt>
                <c:pt idx="45">
                  <c:v>6.2955011231300002</c:v>
                </c:pt>
                <c:pt idx="46">
                  <c:v>32.611531981500001</c:v>
                </c:pt>
                <c:pt idx="47">
                  <c:v>22.936095693599999</c:v>
                </c:pt>
                <c:pt idx="48">
                  <c:v>-6.3923125949699999</c:v>
                </c:pt>
                <c:pt idx="49">
                  <c:v>-45.922552182099999</c:v>
                </c:pt>
                <c:pt idx="50">
                  <c:v>-70.465408337400007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B2C-43E3-9671-1AA2346FA5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908591"/>
        <c:axId val="1055658080"/>
      </c:scatterChart>
      <c:valAx>
        <c:axId val="1043908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Angle [Deg]</a:t>
                </a:r>
              </a:p>
            </c:rich>
          </c:tx>
          <c:layout>
            <c:manualLayout>
              <c:xMode val="edge"/>
              <c:yMode val="edge"/>
              <c:x val="0.43784845390105209"/>
              <c:y val="0.872700786151135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658080"/>
        <c:crosses val="autoZero"/>
        <c:crossBetween val="midCat"/>
      </c:valAx>
      <c:valAx>
        <c:axId val="105565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Torque [Nm]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908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[W]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El. Power [W]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'0.3 Ohm'!$B$3:$B$53</c:f>
              <c:numCache>
                <c:formatCode>General</c:formatCode>
                <c:ptCount val="51"/>
                <c:pt idx="0">
                  <c:v>0</c:v>
                </c:pt>
                <c:pt idx="1">
                  <c:v>6.6666670000000003E-4</c:v>
                </c:pt>
                <c:pt idx="2">
                  <c:v>1.3333334000000001E-3</c:v>
                </c:pt>
                <c:pt idx="3">
                  <c:v>2.0000001000000001E-3</c:v>
                </c:pt>
                <c:pt idx="4">
                  <c:v>2.6666668000000001E-3</c:v>
                </c:pt>
                <c:pt idx="5">
                  <c:v>3.3333335000000001E-3</c:v>
                </c:pt>
                <c:pt idx="6">
                  <c:v>4.0000002000000002E-3</c:v>
                </c:pt>
                <c:pt idx="7">
                  <c:v>4.6666668999999997E-3</c:v>
                </c:pt>
                <c:pt idx="8">
                  <c:v>5.3333336000000002E-3</c:v>
                </c:pt>
                <c:pt idx="9">
                  <c:v>6.0000002999999998E-3</c:v>
                </c:pt>
                <c:pt idx="10">
                  <c:v>6.6666670000000003E-3</c:v>
                </c:pt>
                <c:pt idx="11">
                  <c:v>7.3333336999999998E-3</c:v>
                </c:pt>
                <c:pt idx="12">
                  <c:v>8.0000004000000003E-3</c:v>
                </c:pt>
                <c:pt idx="13">
                  <c:v>8.6666671000000008E-3</c:v>
                </c:pt>
                <c:pt idx="14">
                  <c:v>9.3333337999999995E-3</c:v>
                </c:pt>
                <c:pt idx="15">
                  <c:v>1.00000005E-2</c:v>
                </c:pt>
                <c:pt idx="16">
                  <c:v>1.06666672E-2</c:v>
                </c:pt>
                <c:pt idx="17">
                  <c:v>1.1333333900000001E-2</c:v>
                </c:pt>
                <c:pt idx="18">
                  <c:v>1.20000006E-2</c:v>
                </c:pt>
                <c:pt idx="19">
                  <c:v>1.26666673E-2</c:v>
                </c:pt>
                <c:pt idx="20">
                  <c:v>1.3333334000000001E-2</c:v>
                </c:pt>
                <c:pt idx="21">
                  <c:v>1.4000000699999999E-2</c:v>
                </c:pt>
                <c:pt idx="22">
                  <c:v>1.46666674E-2</c:v>
                </c:pt>
                <c:pt idx="23">
                  <c:v>1.53333341E-2</c:v>
                </c:pt>
                <c:pt idx="24">
                  <c:v>1.6000000800000001E-2</c:v>
                </c:pt>
                <c:pt idx="25">
                  <c:v>1.6666667499999999E-2</c:v>
                </c:pt>
                <c:pt idx="26">
                  <c:v>1.7333334200000002E-2</c:v>
                </c:pt>
                <c:pt idx="27">
                  <c:v>1.80000009E-2</c:v>
                </c:pt>
                <c:pt idx="28">
                  <c:v>1.8666667599999999E-2</c:v>
                </c:pt>
                <c:pt idx="29">
                  <c:v>1.9333334300000001E-2</c:v>
                </c:pt>
                <c:pt idx="30">
                  <c:v>2.0000001E-2</c:v>
                </c:pt>
                <c:pt idx="31">
                  <c:v>2.0666667699999999E-2</c:v>
                </c:pt>
                <c:pt idx="32">
                  <c:v>2.1333334400000001E-2</c:v>
                </c:pt>
                <c:pt idx="33">
                  <c:v>2.20000011E-2</c:v>
                </c:pt>
                <c:pt idx="34">
                  <c:v>2.2666667800000002E-2</c:v>
                </c:pt>
                <c:pt idx="35">
                  <c:v>2.33333345E-2</c:v>
                </c:pt>
                <c:pt idx="36">
                  <c:v>2.4000001199999999E-2</c:v>
                </c:pt>
                <c:pt idx="37">
                  <c:v>2.4666667900000001E-2</c:v>
                </c:pt>
                <c:pt idx="38">
                  <c:v>2.53333346E-2</c:v>
                </c:pt>
                <c:pt idx="39">
                  <c:v>2.6000001299999999E-2</c:v>
                </c:pt>
                <c:pt idx="40">
                  <c:v>2.6666668000000001E-2</c:v>
                </c:pt>
                <c:pt idx="41">
                  <c:v>2.73333347E-2</c:v>
                </c:pt>
                <c:pt idx="42">
                  <c:v>2.8000001399999998E-2</c:v>
                </c:pt>
                <c:pt idx="43">
                  <c:v>2.8666668100000001E-2</c:v>
                </c:pt>
                <c:pt idx="44">
                  <c:v>2.9333334799999999E-2</c:v>
                </c:pt>
                <c:pt idx="45">
                  <c:v>3.0000001500000002E-2</c:v>
                </c:pt>
                <c:pt idx="46">
                  <c:v>3.06666682E-2</c:v>
                </c:pt>
                <c:pt idx="47">
                  <c:v>3.1333334900000002E-2</c:v>
                </c:pt>
                <c:pt idx="48">
                  <c:v>3.2000001600000001E-2</c:v>
                </c:pt>
                <c:pt idx="49">
                  <c:v>3.26666683E-2</c:v>
                </c:pt>
                <c:pt idx="50">
                  <c:v>3.3333334999999999E-2</c:v>
                </c:pt>
              </c:numCache>
            </c:numRef>
          </c:xVal>
          <c:yVal>
            <c:numRef>
              <c:f>'0.3 Ohm'!$F$3:$F$53</c:f>
              <c:numCache>
                <c:formatCode>0</c:formatCode>
                <c:ptCount val="51"/>
                <c:pt idx="0">
                  <c:v>3.2906214050000003E-11</c:v>
                </c:pt>
                <c:pt idx="1">
                  <c:v>0.26389411006000002</c:v>
                </c:pt>
                <c:pt idx="2">
                  <c:v>4.5139840924700003</c:v>
                </c:pt>
                <c:pt idx="3">
                  <c:v>19.9019833037</c:v>
                </c:pt>
                <c:pt idx="4">
                  <c:v>38.386321874399997</c:v>
                </c:pt>
                <c:pt idx="5">
                  <c:v>27.469644200899999</c:v>
                </c:pt>
                <c:pt idx="6">
                  <c:v>4.1064233989799996</c:v>
                </c:pt>
                <c:pt idx="7">
                  <c:v>111.352047227</c:v>
                </c:pt>
                <c:pt idx="8">
                  <c:v>634.55318745399995</c:v>
                </c:pt>
                <c:pt idx="9">
                  <c:v>1820.2094810999999</c:v>
                </c:pt>
                <c:pt idx="10">
                  <c:v>3680.3698181</c:v>
                </c:pt>
                <c:pt idx="11">
                  <c:v>5991.7469016300001</c:v>
                </c:pt>
                <c:pt idx="12">
                  <c:v>8473.8744621400001</c:v>
                </c:pt>
                <c:pt idx="13">
                  <c:v>10864.947880399999</c:v>
                </c:pt>
                <c:pt idx="14">
                  <c:v>12916.962104599999</c:v>
                </c:pt>
                <c:pt idx="15">
                  <c:v>14439.1452477</c:v>
                </c:pt>
                <c:pt idx="16">
                  <c:v>15365.094441200001</c:v>
                </c:pt>
                <c:pt idx="17">
                  <c:v>15770.0880043</c:v>
                </c:pt>
                <c:pt idx="18">
                  <c:v>15739.7659802</c:v>
                </c:pt>
                <c:pt idx="19">
                  <c:v>15139.734872700001</c:v>
                </c:pt>
                <c:pt idx="20">
                  <c:v>13810.420046699999</c:v>
                </c:pt>
                <c:pt idx="21">
                  <c:v>11960.734711200001</c:v>
                </c:pt>
                <c:pt idx="22">
                  <c:v>9985.5274227900009</c:v>
                </c:pt>
                <c:pt idx="23">
                  <c:v>8178.2119693000004</c:v>
                </c:pt>
                <c:pt idx="24">
                  <c:v>6685.5491928600004</c:v>
                </c:pt>
                <c:pt idx="25">
                  <c:v>5539.9833933099999</c:v>
                </c:pt>
                <c:pt idx="26">
                  <c:v>4725.1930918799999</c:v>
                </c:pt>
                <c:pt idx="27">
                  <c:v>4191.7487913000004</c:v>
                </c:pt>
                <c:pt idx="28">
                  <c:v>3828.6710136400002</c:v>
                </c:pt>
                <c:pt idx="29">
                  <c:v>3465.2139903399998</c:v>
                </c:pt>
                <c:pt idx="30">
                  <c:v>2909.7522552700002</c:v>
                </c:pt>
                <c:pt idx="31">
                  <c:v>2020.53357777</c:v>
                </c:pt>
                <c:pt idx="32">
                  <c:v>924.91610674900005</c:v>
                </c:pt>
                <c:pt idx="33">
                  <c:v>148.686549077</c:v>
                </c:pt>
                <c:pt idx="34">
                  <c:v>147.15715447700001</c:v>
                </c:pt>
                <c:pt idx="35">
                  <c:v>1015.95928016</c:v>
                </c:pt>
                <c:pt idx="36">
                  <c:v>2604.8138778399998</c:v>
                </c:pt>
                <c:pt idx="37">
                  <c:v>4648.7489382699996</c:v>
                </c:pt>
                <c:pt idx="38">
                  <c:v>6843.6679157500002</c:v>
                </c:pt>
                <c:pt idx="39">
                  <c:v>8879.5880999100009</c:v>
                </c:pt>
                <c:pt idx="40">
                  <c:v>10537.884610999999</c:v>
                </c:pt>
                <c:pt idx="41">
                  <c:v>11716.835306999999</c:v>
                </c:pt>
                <c:pt idx="42">
                  <c:v>12461.1214511</c:v>
                </c:pt>
                <c:pt idx="43">
                  <c:v>12745.2768732</c:v>
                </c:pt>
                <c:pt idx="44">
                  <c:v>12374.488992000001</c:v>
                </c:pt>
                <c:pt idx="45">
                  <c:v>11450.9039658</c:v>
                </c:pt>
                <c:pt idx="46">
                  <c:v>10010.3979841</c:v>
                </c:pt>
                <c:pt idx="47">
                  <c:v>8284.3188756300005</c:v>
                </c:pt>
                <c:pt idx="48">
                  <c:v>6721.4322456199998</c:v>
                </c:pt>
                <c:pt idx="49">
                  <c:v>5435.3741542099997</c:v>
                </c:pt>
                <c:pt idx="50">
                  <c:v>4363.9766301500003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2C1-48F5-A47B-D6331CBF25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908591"/>
        <c:axId val="1055658080"/>
      </c:scatterChart>
      <c:valAx>
        <c:axId val="1043908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658080"/>
        <c:crosses val="autoZero"/>
        <c:crossBetween val="midCat"/>
      </c:valAx>
      <c:valAx>
        <c:axId val="105565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Voltage [V]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908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Torque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'Motor Mode'!$B$5:$B$13</c:f>
              <c:numCache>
                <c:formatCode>General</c:formatCode>
                <c:ptCount val="9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</c:numCache>
            </c:numRef>
          </c:xVal>
          <c:yVal>
            <c:numRef>
              <c:f>'Motor Mode'!$C$5:$C$13</c:f>
              <c:numCache>
                <c:formatCode>General</c:formatCode>
                <c:ptCount val="9"/>
                <c:pt idx="0">
                  <c:v>-599</c:v>
                </c:pt>
                <c:pt idx="1">
                  <c:v>-197</c:v>
                </c:pt>
                <c:pt idx="2">
                  <c:v>230</c:v>
                </c:pt>
                <c:pt idx="3">
                  <c:v>654</c:v>
                </c:pt>
                <c:pt idx="4">
                  <c:v>1014</c:v>
                </c:pt>
                <c:pt idx="5">
                  <c:v>1250</c:v>
                </c:pt>
                <c:pt idx="6">
                  <c:v>1439</c:v>
                </c:pt>
                <c:pt idx="7">
                  <c:v>1560</c:v>
                </c:pt>
                <c:pt idx="8">
                  <c:v>1647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293-41DD-8496-D27A909EE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9556736"/>
        <c:axId val="1637027664"/>
      </c:scatterChart>
      <c:valAx>
        <c:axId val="1769556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Current [A]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027664"/>
        <c:crosses val="autoZero"/>
        <c:crossBetween val="midCat"/>
      </c:valAx>
      <c:valAx>
        <c:axId val="163702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Torque [Nm]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556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4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4" Type="http://schemas.openxmlformats.org/officeDocument/2006/relationships/chart" Target="../charts/chart21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4" Type="http://schemas.openxmlformats.org/officeDocument/2006/relationships/chart" Target="../charts/chart25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4" Type="http://schemas.openxmlformats.org/officeDocument/2006/relationships/chart" Target="../charts/chart2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83820</xdr:colOff>
      <xdr:row>1</xdr:row>
      <xdr:rowOff>3810</xdr:rowOff>
    </xdr:from>
    <xdr:to>
      <xdr:col>16</xdr:col>
      <xdr:colOff>373380</xdr:colOff>
      <xdr:row>16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C97DB8-886E-5662-804E-8FD6D81DA8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91440</xdr:colOff>
      <xdr:row>16</xdr:row>
      <xdr:rowOff>129540</xdr:rowOff>
    </xdr:from>
    <xdr:to>
      <xdr:col>16</xdr:col>
      <xdr:colOff>480060</xdr:colOff>
      <xdr:row>38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A419B37-7FA9-4C2A-8960-E9B6F2D2E8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404495</xdr:colOff>
      <xdr:row>1</xdr:row>
      <xdr:rowOff>3810</xdr:rowOff>
    </xdr:from>
    <xdr:to>
      <xdr:col>19</xdr:col>
      <xdr:colOff>19685</xdr:colOff>
      <xdr:row>22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874436-24C8-8EE2-E90A-CB89994284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152400</xdr:colOff>
      <xdr:row>1</xdr:row>
      <xdr:rowOff>30480</xdr:rowOff>
    </xdr:from>
    <xdr:to>
      <xdr:col>27</xdr:col>
      <xdr:colOff>377190</xdr:colOff>
      <xdr:row>23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3231E83-BDDC-4ED8-90C9-5B1A986206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396240</xdr:colOff>
      <xdr:row>23</xdr:row>
      <xdr:rowOff>76200</xdr:rowOff>
    </xdr:from>
    <xdr:to>
      <xdr:col>19</xdr:col>
      <xdr:colOff>11430</xdr:colOff>
      <xdr:row>45</xdr:row>
      <xdr:rowOff>51435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DB8C869-599D-44FA-AA18-9F3F1C555D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427355</xdr:colOff>
      <xdr:row>0</xdr:row>
      <xdr:rowOff>171450</xdr:rowOff>
    </xdr:from>
    <xdr:to>
      <xdr:col>17</xdr:col>
      <xdr:colOff>42545</xdr:colOff>
      <xdr:row>22</xdr:row>
      <xdr:rowOff>146685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19888F-DBB2-48D0-A5C7-2CB89079C7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182880</xdr:colOff>
      <xdr:row>1</xdr:row>
      <xdr:rowOff>7620</xdr:rowOff>
    </xdr:from>
    <xdr:to>
      <xdr:col>25</xdr:col>
      <xdr:colOff>407670</xdr:colOff>
      <xdr:row>22</xdr:row>
      <xdr:rowOff>163830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E26CD78-D7A3-4353-AD0B-35D164D25D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403860</xdr:colOff>
      <xdr:row>23</xdr:row>
      <xdr:rowOff>53340</xdr:rowOff>
    </xdr:from>
    <xdr:to>
      <xdr:col>17</xdr:col>
      <xdr:colOff>19050</xdr:colOff>
      <xdr:row>45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1630A8-3E00-4A00-A729-4250DB0344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152400</xdr:colOff>
      <xdr:row>23</xdr:row>
      <xdr:rowOff>30480</xdr:rowOff>
    </xdr:from>
    <xdr:to>
      <xdr:col>25</xdr:col>
      <xdr:colOff>377190</xdr:colOff>
      <xdr:row>45</xdr:row>
      <xdr:rowOff>3810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90C7450-356A-4830-BBC4-9D5DE0C741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343535</xdr:colOff>
      <xdr:row>1</xdr:row>
      <xdr:rowOff>3810</xdr:rowOff>
    </xdr:from>
    <xdr:to>
      <xdr:col>16</xdr:col>
      <xdr:colOff>553085</xdr:colOff>
      <xdr:row>22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B8B2F0-61BC-4F44-84FF-47EC6B8B14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83820</xdr:colOff>
      <xdr:row>1</xdr:row>
      <xdr:rowOff>0</xdr:rowOff>
    </xdr:from>
    <xdr:to>
      <xdr:col>25</xdr:col>
      <xdr:colOff>308610</xdr:colOff>
      <xdr:row>22</xdr:row>
      <xdr:rowOff>156210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CEAC9A-5DAC-4E3C-A5EB-DBE7F5870F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335280</xdr:colOff>
      <xdr:row>23</xdr:row>
      <xdr:rowOff>7620</xdr:rowOff>
    </xdr:from>
    <xdr:to>
      <xdr:col>16</xdr:col>
      <xdr:colOff>544830</xdr:colOff>
      <xdr:row>44</xdr:row>
      <xdr:rowOff>165735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1C115CA-7DC6-459E-AB44-BE7B049BAE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60960</xdr:colOff>
      <xdr:row>23</xdr:row>
      <xdr:rowOff>30480</xdr:rowOff>
    </xdr:from>
    <xdr:to>
      <xdr:col>25</xdr:col>
      <xdr:colOff>285750</xdr:colOff>
      <xdr:row>45</xdr:row>
      <xdr:rowOff>3810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25ADB64-2561-42D8-A814-5175BF0D35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328295</xdr:colOff>
      <xdr:row>1</xdr:row>
      <xdr:rowOff>19050</xdr:rowOff>
    </xdr:from>
    <xdr:to>
      <xdr:col>16</xdr:col>
      <xdr:colOff>537845</xdr:colOff>
      <xdr:row>22</xdr:row>
      <xdr:rowOff>177165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854B8D-F09A-48E6-9789-F556B302D5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53340</xdr:colOff>
      <xdr:row>1</xdr:row>
      <xdr:rowOff>22860</xdr:rowOff>
    </xdr:from>
    <xdr:to>
      <xdr:col>25</xdr:col>
      <xdr:colOff>278130</xdr:colOff>
      <xdr:row>22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BBC8C5-4FCB-41B2-AD27-93A94DA3D2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335280</xdr:colOff>
      <xdr:row>23</xdr:row>
      <xdr:rowOff>45720</xdr:rowOff>
    </xdr:from>
    <xdr:to>
      <xdr:col>16</xdr:col>
      <xdr:colOff>544830</xdr:colOff>
      <xdr:row>45</xdr:row>
      <xdr:rowOff>20955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6AA739D-D9CA-469B-80B5-125080A70E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53340</xdr:colOff>
      <xdr:row>23</xdr:row>
      <xdr:rowOff>53340</xdr:rowOff>
    </xdr:from>
    <xdr:to>
      <xdr:col>25</xdr:col>
      <xdr:colOff>278130</xdr:colOff>
      <xdr:row>45</xdr:row>
      <xdr:rowOff>26670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55D1A1E-B81F-4889-9523-C0C9B27FA9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206375</xdr:colOff>
      <xdr:row>0</xdr:row>
      <xdr:rowOff>171450</xdr:rowOff>
    </xdr:from>
    <xdr:to>
      <xdr:col>16</xdr:col>
      <xdr:colOff>415925</xdr:colOff>
      <xdr:row>22</xdr:row>
      <xdr:rowOff>146685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C1BB90-E494-417D-BD9D-14E1EE8186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548640</xdr:colOff>
      <xdr:row>1</xdr:row>
      <xdr:rowOff>15240</xdr:rowOff>
    </xdr:from>
    <xdr:to>
      <xdr:col>25</xdr:col>
      <xdr:colOff>179070</xdr:colOff>
      <xdr:row>22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507DBD7-3948-4104-B978-1A197B0EEB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220980</xdr:colOff>
      <xdr:row>23</xdr:row>
      <xdr:rowOff>7620</xdr:rowOff>
    </xdr:from>
    <xdr:to>
      <xdr:col>16</xdr:col>
      <xdr:colOff>430530</xdr:colOff>
      <xdr:row>44</xdr:row>
      <xdr:rowOff>165735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B96D7BE-62B9-47AD-8DE6-A1CD6E623A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571500</xdr:colOff>
      <xdr:row>23</xdr:row>
      <xdr:rowOff>53340</xdr:rowOff>
    </xdr:from>
    <xdr:to>
      <xdr:col>25</xdr:col>
      <xdr:colOff>201930</xdr:colOff>
      <xdr:row>45</xdr:row>
      <xdr:rowOff>26670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57FCD68-0A1B-4991-95E6-EFFE06046C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297815</xdr:colOff>
      <xdr:row>0</xdr:row>
      <xdr:rowOff>171450</xdr:rowOff>
    </xdr:from>
    <xdr:to>
      <xdr:col>16</xdr:col>
      <xdr:colOff>507365</xdr:colOff>
      <xdr:row>22</xdr:row>
      <xdr:rowOff>146685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043B9D-C0AE-4B6E-9B0E-8F3F00A6D4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15240</xdr:colOff>
      <xdr:row>1</xdr:row>
      <xdr:rowOff>7620</xdr:rowOff>
    </xdr:from>
    <xdr:to>
      <xdr:col>25</xdr:col>
      <xdr:colOff>240030</xdr:colOff>
      <xdr:row>22</xdr:row>
      <xdr:rowOff>163830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6853F1-E879-442D-88D7-5D99118B8A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281940</xdr:colOff>
      <xdr:row>23</xdr:row>
      <xdr:rowOff>15240</xdr:rowOff>
    </xdr:from>
    <xdr:to>
      <xdr:col>16</xdr:col>
      <xdr:colOff>491490</xdr:colOff>
      <xdr:row>44</xdr:row>
      <xdr:rowOff>173355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1084278-BE9D-48D4-A060-38F48101C0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7620</xdr:colOff>
      <xdr:row>23</xdr:row>
      <xdr:rowOff>38100</xdr:rowOff>
    </xdr:from>
    <xdr:to>
      <xdr:col>25</xdr:col>
      <xdr:colOff>232410</xdr:colOff>
      <xdr:row>45</xdr:row>
      <xdr:rowOff>11430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A1C3843-C486-48AB-AF62-B66E400889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191135</xdr:colOff>
      <xdr:row>0</xdr:row>
      <xdr:rowOff>179070</xdr:rowOff>
    </xdr:from>
    <xdr:to>
      <xdr:col>16</xdr:col>
      <xdr:colOff>400685</xdr:colOff>
      <xdr:row>22</xdr:row>
      <xdr:rowOff>154305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547A70-6A78-4D1A-9350-60E18EB09A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563880</xdr:colOff>
      <xdr:row>1</xdr:row>
      <xdr:rowOff>0</xdr:rowOff>
    </xdr:from>
    <xdr:to>
      <xdr:col>25</xdr:col>
      <xdr:colOff>194310</xdr:colOff>
      <xdr:row>22</xdr:row>
      <xdr:rowOff>156210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548B4A-CF4F-4049-9A18-B800192109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167640</xdr:colOff>
      <xdr:row>23</xdr:row>
      <xdr:rowOff>38100</xdr:rowOff>
    </xdr:from>
    <xdr:to>
      <xdr:col>16</xdr:col>
      <xdr:colOff>377190</xdr:colOff>
      <xdr:row>45</xdr:row>
      <xdr:rowOff>13335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E91AC97-6A47-4839-8768-1FCBC24687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556260</xdr:colOff>
      <xdr:row>23</xdr:row>
      <xdr:rowOff>15240</xdr:rowOff>
    </xdr:from>
    <xdr:to>
      <xdr:col>25</xdr:col>
      <xdr:colOff>186690</xdr:colOff>
      <xdr:row>44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55B4E64-C306-457B-8EA4-686DB5869B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441960</xdr:colOff>
      <xdr:row>2</xdr:row>
      <xdr:rowOff>57150</xdr:rowOff>
    </xdr:from>
    <xdr:to>
      <xdr:col>12</xdr:col>
      <xdr:colOff>53340</xdr:colOff>
      <xdr:row>18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E67474-06F6-BD9B-6F7E-1D3821BD5C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03"/>
  <sheetViews>
    <sheetView workbookViewId="0">
      <selection activeCell="U19" sqref="U19"/>
    </sheetView>
  </sheetViews>
  <sheetFormatPr defaultColWidth="8.6640625" defaultRowHeight="14.4" x14ac:dyDescent="0.3"/>
  <cols>
    <col min="3" max="3" width="19.44140625" bestFit="1" customWidth="1"/>
    <col min="6" max="6" width="12.6640625" bestFit="1" customWidth="1"/>
    <col min="7" max="7" width="16.5546875" bestFit="1" customWidth="1"/>
    <col min="8" max="8" width="17" bestFit="1" customWidth="1"/>
  </cols>
  <sheetData>
    <row r="2" spans="2:8" x14ac:dyDescent="0.3">
      <c r="B2" s="1" t="s">
        <v>0</v>
      </c>
      <c r="C2" s="1" t="s">
        <v>1</v>
      </c>
      <c r="E2" s="1" t="s">
        <v>0</v>
      </c>
      <c r="F2" s="1" t="s">
        <v>8</v>
      </c>
      <c r="G2" s="1" t="s">
        <v>10</v>
      </c>
      <c r="H2" s="1" t="s">
        <v>9</v>
      </c>
    </row>
    <row r="3" spans="2:8" x14ac:dyDescent="0.3">
      <c r="B3" s="1">
        <v>0</v>
      </c>
      <c r="C3" s="1">
        <v>0</v>
      </c>
      <c r="E3" s="1">
        <v>0</v>
      </c>
      <c r="F3" s="8">
        <v>0</v>
      </c>
      <c r="G3" s="8">
        <f>F3+9</f>
        <v>9</v>
      </c>
      <c r="H3" s="8">
        <f>G3*-1</f>
        <v>-9</v>
      </c>
    </row>
    <row r="4" spans="2:8" x14ac:dyDescent="0.3">
      <c r="B4" s="1">
        <v>4.1666669999999998E-3</v>
      </c>
      <c r="C4" s="1">
        <v>-280</v>
      </c>
      <c r="E4" s="1">
        <v>6.6666670000000003E-4</v>
      </c>
      <c r="F4" s="8">
        <v>-8.9600001792000006E-2</v>
      </c>
      <c r="G4" s="8">
        <f t="shared" ref="G4:G67" si="0">F4+9</f>
        <v>8.9103999982079998</v>
      </c>
      <c r="H4" s="8">
        <f t="shared" ref="H4:H67" si="1">G4*-1</f>
        <v>-8.9103999982079998</v>
      </c>
    </row>
    <row r="5" spans="2:8" x14ac:dyDescent="0.3">
      <c r="B5" s="1">
        <v>1.2500000000000001E-2</v>
      </c>
      <c r="C5" s="1">
        <v>-200</v>
      </c>
      <c r="E5" s="1">
        <v>1.3333334000000001E-3</v>
      </c>
      <c r="F5" s="8">
        <v>-0.35840000716800002</v>
      </c>
      <c r="G5" s="8">
        <f t="shared" si="0"/>
        <v>8.6415999928319991</v>
      </c>
      <c r="H5" s="8">
        <f t="shared" si="1"/>
        <v>-8.6415999928319991</v>
      </c>
    </row>
    <row r="6" spans="2:8" x14ac:dyDescent="0.3">
      <c r="B6" s="1">
        <v>1.6666670000000001E-2</v>
      </c>
      <c r="C6" s="1">
        <v>0</v>
      </c>
      <c r="E6" s="1">
        <v>2.0000001000000001E-3</v>
      </c>
      <c r="F6" s="8">
        <v>-0.80640001612800005</v>
      </c>
      <c r="G6" s="8">
        <f t="shared" si="0"/>
        <v>8.1935999838719997</v>
      </c>
      <c r="H6" s="8">
        <f t="shared" si="1"/>
        <v>-8.1935999838719997</v>
      </c>
    </row>
    <row r="7" spans="2:8" x14ac:dyDescent="0.3">
      <c r="B7" s="1">
        <v>2.0833330000000001E-2</v>
      </c>
      <c r="C7" s="1">
        <v>280</v>
      </c>
      <c r="E7" s="1">
        <v>2.6666668000000001E-3</v>
      </c>
      <c r="F7" s="8">
        <v>-1.4336000286699999</v>
      </c>
      <c r="G7" s="8">
        <f t="shared" si="0"/>
        <v>7.5663999713300001</v>
      </c>
      <c r="H7" s="8">
        <f t="shared" si="1"/>
        <v>-7.5663999713300001</v>
      </c>
    </row>
    <row r="8" spans="2:8" x14ac:dyDescent="0.3">
      <c r="B8" s="1">
        <v>2.9166669999999999E-2</v>
      </c>
      <c r="C8" s="1">
        <v>200</v>
      </c>
      <c r="E8" s="1">
        <v>3.3333335000000001E-3</v>
      </c>
      <c r="F8" s="8">
        <v>-2.2400000447999999</v>
      </c>
      <c r="G8" s="8">
        <f t="shared" si="0"/>
        <v>6.7599999551999996</v>
      </c>
      <c r="H8" s="8">
        <f t="shared" si="1"/>
        <v>-6.7599999551999996</v>
      </c>
    </row>
    <row r="9" spans="2:8" x14ac:dyDescent="0.3">
      <c r="B9" s="1">
        <v>3.3333300000000003E-2</v>
      </c>
      <c r="C9" s="1">
        <v>0</v>
      </c>
      <c r="E9" s="1">
        <v>4.0000002000000002E-3</v>
      </c>
      <c r="F9" s="8">
        <v>-3.22560006451</v>
      </c>
      <c r="G9" s="8">
        <f t="shared" si="0"/>
        <v>5.77439993549</v>
      </c>
      <c r="H9" s="8">
        <f t="shared" si="1"/>
        <v>-5.77439993549</v>
      </c>
    </row>
    <row r="10" spans="2:8" x14ac:dyDescent="0.3">
      <c r="B10" s="4">
        <v>3.7499999999999999E-2</v>
      </c>
      <c r="C10" s="4">
        <v>-280</v>
      </c>
      <c r="E10" s="1">
        <v>4.6666668999999997E-3</v>
      </c>
      <c r="F10" s="8">
        <v>-4.3328001145900004</v>
      </c>
      <c r="G10" s="8">
        <f t="shared" si="0"/>
        <v>4.6671998854099996</v>
      </c>
      <c r="H10" s="8">
        <f t="shared" si="1"/>
        <v>-4.6671998854099996</v>
      </c>
    </row>
    <row r="11" spans="2:8" x14ac:dyDescent="0.3">
      <c r="B11" s="4">
        <v>4.5833329999999999E-2</v>
      </c>
      <c r="C11" s="4">
        <v>-200</v>
      </c>
      <c r="E11" s="1">
        <v>5.3333336000000002E-3</v>
      </c>
      <c r="F11" s="8">
        <v>-5.4208001709099998</v>
      </c>
      <c r="G11" s="8">
        <f t="shared" si="0"/>
        <v>3.5791998290900002</v>
      </c>
      <c r="H11" s="8">
        <f t="shared" si="1"/>
        <v>-3.5791998290900002</v>
      </c>
    </row>
    <row r="12" spans="2:8" x14ac:dyDescent="0.3">
      <c r="B12" s="4">
        <v>0.05</v>
      </c>
      <c r="C12" s="4">
        <v>0</v>
      </c>
      <c r="E12" s="1">
        <v>6.0000002999999998E-3</v>
      </c>
      <c r="F12" s="8">
        <v>-6.4832002236499999</v>
      </c>
      <c r="G12" s="8">
        <f t="shared" si="0"/>
        <v>2.5167997763500001</v>
      </c>
      <c r="H12" s="8">
        <f t="shared" si="1"/>
        <v>-2.5167997763500001</v>
      </c>
    </row>
    <row r="13" spans="2:8" x14ac:dyDescent="0.3">
      <c r="B13" s="4">
        <v>5.416667E-2</v>
      </c>
      <c r="C13" s="4">
        <v>280</v>
      </c>
      <c r="E13" s="1">
        <v>6.6666670000000003E-3</v>
      </c>
      <c r="F13" s="8">
        <v>-7.5200002727999999</v>
      </c>
      <c r="G13" s="8">
        <f t="shared" si="0"/>
        <v>1.4799997272000001</v>
      </c>
      <c r="H13" s="8">
        <f t="shared" si="1"/>
        <v>-1.4799997272000001</v>
      </c>
    </row>
    <row r="14" spans="2:8" x14ac:dyDescent="0.3">
      <c r="B14" s="4">
        <v>6.25E-2</v>
      </c>
      <c r="C14" s="4">
        <v>200</v>
      </c>
      <c r="E14" s="1">
        <v>7.3333336999999998E-3</v>
      </c>
      <c r="F14" s="8">
        <v>-8.5312003183700007</v>
      </c>
      <c r="G14" s="8">
        <f t="shared" si="0"/>
        <v>0.4687996816299993</v>
      </c>
      <c r="H14" s="8">
        <f t="shared" si="1"/>
        <v>-0.4687996816299993</v>
      </c>
    </row>
    <row r="15" spans="2:8" x14ac:dyDescent="0.3">
      <c r="B15" s="4">
        <v>6.6666699999999995E-2</v>
      </c>
      <c r="C15" s="4">
        <v>0</v>
      </c>
      <c r="E15" s="1">
        <v>8.0000004000000003E-3</v>
      </c>
      <c r="F15" s="8">
        <v>-9.5168003603500004</v>
      </c>
      <c r="G15" s="8">
        <f t="shared" si="0"/>
        <v>-0.51680036035000043</v>
      </c>
      <c r="H15" s="8">
        <f t="shared" si="1"/>
        <v>0.51680036035000043</v>
      </c>
    </row>
    <row r="16" spans="2:8" x14ac:dyDescent="0.3">
      <c r="E16" s="1">
        <v>8.6666671000000008E-3</v>
      </c>
      <c r="F16" s="8">
        <v>-10.4768003988</v>
      </c>
      <c r="G16" s="8">
        <f t="shared" si="0"/>
        <v>-1.4768003988</v>
      </c>
      <c r="H16" s="8">
        <f t="shared" si="1"/>
        <v>1.4768003988</v>
      </c>
    </row>
    <row r="17" spans="5:8" x14ac:dyDescent="0.3">
      <c r="E17" s="1">
        <v>9.3333337999999995E-3</v>
      </c>
      <c r="F17" s="8">
        <v>-11.411200433599999</v>
      </c>
      <c r="G17" s="8">
        <f t="shared" si="0"/>
        <v>-2.4112004335999995</v>
      </c>
      <c r="H17" s="8">
        <f t="shared" si="1"/>
        <v>2.4112004335999995</v>
      </c>
    </row>
    <row r="18" spans="5:8" x14ac:dyDescent="0.3">
      <c r="E18" s="1">
        <v>1.00000005E-2</v>
      </c>
      <c r="F18" s="8">
        <v>-12.3200004648</v>
      </c>
      <c r="G18" s="8">
        <f t="shared" si="0"/>
        <v>-3.3200004647999997</v>
      </c>
      <c r="H18" s="8">
        <f t="shared" si="1"/>
        <v>3.3200004647999997</v>
      </c>
    </row>
    <row r="19" spans="5:8" x14ac:dyDescent="0.3">
      <c r="E19" s="1">
        <v>1.06666672E-2</v>
      </c>
      <c r="F19" s="8">
        <v>-13.203200492400001</v>
      </c>
      <c r="G19" s="8">
        <f t="shared" si="0"/>
        <v>-4.2032004924000006</v>
      </c>
      <c r="H19" s="8">
        <f t="shared" si="1"/>
        <v>4.2032004924000006</v>
      </c>
    </row>
    <row r="20" spans="5:8" x14ac:dyDescent="0.3">
      <c r="E20" s="1">
        <v>1.1333333900000001E-2</v>
      </c>
      <c r="F20" s="8">
        <v>-14.060800516500001</v>
      </c>
      <c r="G20" s="8">
        <f t="shared" si="0"/>
        <v>-5.0608005165000005</v>
      </c>
      <c r="H20" s="8">
        <f t="shared" si="1"/>
        <v>5.0608005165000005</v>
      </c>
    </row>
    <row r="21" spans="5:8" x14ac:dyDescent="0.3">
      <c r="E21" s="1">
        <v>1.20000006E-2</v>
      </c>
      <c r="F21" s="8">
        <v>-14.892800536999999</v>
      </c>
      <c r="G21" s="8">
        <f t="shared" si="0"/>
        <v>-5.8928005369999994</v>
      </c>
      <c r="H21" s="8">
        <f t="shared" si="1"/>
        <v>5.8928005369999994</v>
      </c>
    </row>
    <row r="22" spans="5:8" x14ac:dyDescent="0.3">
      <c r="E22" s="1">
        <v>1.26666673E-2</v>
      </c>
      <c r="F22" s="8">
        <v>-15.696000532799999</v>
      </c>
      <c r="G22" s="8">
        <f t="shared" si="0"/>
        <v>-6.6960005327999994</v>
      </c>
      <c r="H22" s="8">
        <f t="shared" si="1"/>
        <v>6.6960005327999994</v>
      </c>
    </row>
    <row r="23" spans="5:8" x14ac:dyDescent="0.3">
      <c r="E23" s="1">
        <v>1.3333334000000001E-2</v>
      </c>
      <c r="F23" s="8">
        <v>-16.400000519999999</v>
      </c>
      <c r="G23" s="8">
        <f t="shared" si="0"/>
        <v>-7.400000519999999</v>
      </c>
      <c r="H23" s="8">
        <f t="shared" si="1"/>
        <v>7.400000519999999</v>
      </c>
    </row>
    <row r="24" spans="5:8" x14ac:dyDescent="0.3">
      <c r="E24" s="1">
        <v>1.4000000699999999E-2</v>
      </c>
      <c r="F24" s="8">
        <v>-16.976000596799999</v>
      </c>
      <c r="G24" s="8">
        <f t="shared" si="0"/>
        <v>-7.9760005967999987</v>
      </c>
      <c r="H24" s="8">
        <f t="shared" si="1"/>
        <v>7.9760005967999987</v>
      </c>
    </row>
    <row r="25" spans="5:8" x14ac:dyDescent="0.3">
      <c r="E25" s="1">
        <v>1.46666674E-2</v>
      </c>
      <c r="F25" s="8">
        <v>-17.424000763199999</v>
      </c>
      <c r="G25" s="8">
        <f t="shared" si="0"/>
        <v>-8.4240007631999987</v>
      </c>
      <c r="H25" s="8">
        <f t="shared" si="1"/>
        <v>8.4240007631999987</v>
      </c>
    </row>
    <row r="26" spans="5:8" x14ac:dyDescent="0.3">
      <c r="E26" s="1">
        <v>1.53333341E-2</v>
      </c>
      <c r="F26" s="8">
        <v>-17.744001019199999</v>
      </c>
      <c r="G26" s="8">
        <f t="shared" si="0"/>
        <v>-8.7440010191999988</v>
      </c>
      <c r="H26" s="8">
        <f t="shared" si="1"/>
        <v>8.7440010191999988</v>
      </c>
    </row>
    <row r="27" spans="5:8" x14ac:dyDescent="0.3">
      <c r="E27" s="1">
        <v>1.6000000800000001E-2</v>
      </c>
      <c r="F27" s="8">
        <v>-17.936001364799999</v>
      </c>
      <c r="G27" s="8">
        <f t="shared" si="0"/>
        <v>-8.9360013647999992</v>
      </c>
      <c r="H27" s="8">
        <f t="shared" si="1"/>
        <v>8.9360013647999992</v>
      </c>
    </row>
    <row r="28" spans="5:8" x14ac:dyDescent="0.3">
      <c r="E28" s="1">
        <v>1.6666667499999999E-2</v>
      </c>
      <c r="F28" s="8">
        <v>-18.0000018</v>
      </c>
      <c r="G28" s="8">
        <f t="shared" si="0"/>
        <v>-9.0000017999999997</v>
      </c>
      <c r="H28" s="8">
        <f t="shared" si="1"/>
        <v>9.0000017999999997</v>
      </c>
    </row>
    <row r="29" spans="5:8" x14ac:dyDescent="0.3">
      <c r="E29" s="1">
        <v>1.7333334200000002E-2</v>
      </c>
      <c r="F29" s="8">
        <v>-17.910402319700001</v>
      </c>
      <c r="G29" s="8">
        <f t="shared" si="0"/>
        <v>-8.9104023197000011</v>
      </c>
      <c r="H29" s="8">
        <f t="shared" si="1"/>
        <v>8.9104023197000011</v>
      </c>
    </row>
    <row r="30" spans="5:8" x14ac:dyDescent="0.3">
      <c r="E30" s="1">
        <v>1.80000009E-2</v>
      </c>
      <c r="F30" s="8">
        <v>-17.641602534699999</v>
      </c>
      <c r="G30" s="8">
        <f t="shared" si="0"/>
        <v>-8.6416025346999987</v>
      </c>
      <c r="H30" s="8">
        <f t="shared" si="1"/>
        <v>8.6416025346999987</v>
      </c>
    </row>
    <row r="31" spans="5:8" x14ac:dyDescent="0.3">
      <c r="E31" s="1">
        <v>1.8666667599999999E-2</v>
      </c>
      <c r="F31" s="8">
        <v>-17.193602445100002</v>
      </c>
      <c r="G31" s="8">
        <f t="shared" si="0"/>
        <v>-8.1936024451000016</v>
      </c>
      <c r="H31" s="8">
        <f t="shared" si="1"/>
        <v>8.1936024451000016</v>
      </c>
    </row>
    <row r="32" spans="5:8" x14ac:dyDescent="0.3">
      <c r="E32" s="1">
        <v>1.9333334300000001E-2</v>
      </c>
      <c r="F32" s="8">
        <v>-16.566402050899999</v>
      </c>
      <c r="G32" s="8">
        <f t="shared" si="0"/>
        <v>-7.566402050899999</v>
      </c>
      <c r="H32" s="8">
        <f t="shared" si="1"/>
        <v>7.566402050899999</v>
      </c>
    </row>
    <row r="33" spans="5:8" x14ac:dyDescent="0.3">
      <c r="E33" s="1">
        <v>2.0000001E-2</v>
      </c>
      <c r="F33" s="8">
        <v>-15.760001352</v>
      </c>
      <c r="G33" s="8">
        <f t="shared" si="0"/>
        <v>-6.7600013519999997</v>
      </c>
      <c r="H33" s="8">
        <f t="shared" si="1"/>
        <v>6.7600013519999997</v>
      </c>
    </row>
    <row r="34" spans="5:8" x14ac:dyDescent="0.3">
      <c r="E34" s="1">
        <v>2.0666667699999999E-2</v>
      </c>
      <c r="F34" s="8">
        <v>-14.7744003485</v>
      </c>
      <c r="G34" s="8">
        <f t="shared" si="0"/>
        <v>-5.7744003485000004</v>
      </c>
      <c r="H34" s="8">
        <f t="shared" si="1"/>
        <v>5.7744003485000004</v>
      </c>
    </row>
    <row r="35" spans="5:8" x14ac:dyDescent="0.3">
      <c r="E35" s="1">
        <v>2.1333334400000001E-2</v>
      </c>
      <c r="F35" s="8">
        <v>-13.667200128999999</v>
      </c>
      <c r="G35" s="8">
        <f t="shared" si="0"/>
        <v>-4.6672001289999994</v>
      </c>
      <c r="H35" s="8">
        <f t="shared" si="1"/>
        <v>4.6672001289999994</v>
      </c>
    </row>
    <row r="36" spans="5:8" x14ac:dyDescent="0.3">
      <c r="E36" s="1">
        <v>2.20000011E-2</v>
      </c>
      <c r="F36" s="8">
        <v>-12.5792002186</v>
      </c>
      <c r="G36" s="8">
        <f t="shared" si="0"/>
        <v>-3.5792002186000005</v>
      </c>
      <c r="H36" s="8">
        <f t="shared" si="1"/>
        <v>3.5792002186000005</v>
      </c>
    </row>
    <row r="37" spans="5:8" x14ac:dyDescent="0.3">
      <c r="E37" s="1">
        <v>2.2666667800000002E-2</v>
      </c>
      <c r="F37" s="8">
        <v>-11.516800290200001</v>
      </c>
      <c r="G37" s="8">
        <f t="shared" si="0"/>
        <v>-2.5168002902000008</v>
      </c>
      <c r="H37" s="8">
        <f t="shared" si="1"/>
        <v>2.5168002902000008</v>
      </c>
    </row>
    <row r="38" spans="5:8" x14ac:dyDescent="0.3">
      <c r="E38" s="1">
        <v>2.33333345E-2</v>
      </c>
      <c r="F38" s="8">
        <v>-10.480000344</v>
      </c>
      <c r="G38" s="8">
        <f t="shared" si="0"/>
        <v>-1.4800003440000005</v>
      </c>
      <c r="H38" s="8">
        <f t="shared" si="1"/>
        <v>1.4800003440000005</v>
      </c>
    </row>
    <row r="39" spans="5:8" x14ac:dyDescent="0.3">
      <c r="E39" s="1">
        <v>2.4000001199999999E-2</v>
      </c>
      <c r="F39" s="8">
        <v>-9.4688003798399993</v>
      </c>
      <c r="G39" s="8">
        <f t="shared" si="0"/>
        <v>-0.46880037983999934</v>
      </c>
      <c r="H39" s="8">
        <f t="shared" si="1"/>
        <v>0.46880037983999934</v>
      </c>
    </row>
    <row r="40" spans="5:8" x14ac:dyDescent="0.3">
      <c r="E40" s="1">
        <v>2.4666667900000001E-2</v>
      </c>
      <c r="F40" s="8">
        <v>-8.4832003977599992</v>
      </c>
      <c r="G40" s="8">
        <f t="shared" si="0"/>
        <v>0.51679960224000077</v>
      </c>
      <c r="H40" s="8">
        <f t="shared" si="1"/>
        <v>-0.51679960224000077</v>
      </c>
    </row>
    <row r="41" spans="5:8" x14ac:dyDescent="0.3">
      <c r="E41" s="1">
        <v>2.53333346E-2</v>
      </c>
      <c r="F41" s="8">
        <v>-7.5232003977600002</v>
      </c>
      <c r="G41" s="8">
        <f t="shared" si="0"/>
        <v>1.4767996022399998</v>
      </c>
      <c r="H41" s="8">
        <f t="shared" si="1"/>
        <v>-1.4767996022399998</v>
      </c>
    </row>
    <row r="42" spans="5:8" x14ac:dyDescent="0.3">
      <c r="E42" s="1">
        <v>2.6000001299999999E-2</v>
      </c>
      <c r="F42" s="8">
        <v>-6.5888003798400003</v>
      </c>
      <c r="G42" s="8">
        <f t="shared" si="0"/>
        <v>2.4111996201599997</v>
      </c>
      <c r="H42" s="8">
        <f t="shared" si="1"/>
        <v>-2.4111996201599997</v>
      </c>
    </row>
    <row r="43" spans="5:8" x14ac:dyDescent="0.3">
      <c r="E43" s="1">
        <v>2.6666668000000001E-2</v>
      </c>
      <c r="F43" s="8">
        <v>-5.6800003439999998</v>
      </c>
      <c r="G43" s="8">
        <f t="shared" si="0"/>
        <v>3.3199996560000002</v>
      </c>
      <c r="H43" s="8">
        <f t="shared" si="1"/>
        <v>-3.3199996560000002</v>
      </c>
    </row>
    <row r="44" spans="5:8" x14ac:dyDescent="0.3">
      <c r="E44" s="1">
        <v>2.73333347E-2</v>
      </c>
      <c r="F44" s="8">
        <v>-4.7968002902400002</v>
      </c>
      <c r="G44" s="8">
        <f t="shared" si="0"/>
        <v>4.2031997097599998</v>
      </c>
      <c r="H44" s="8">
        <f t="shared" si="1"/>
        <v>-4.2031997097599998</v>
      </c>
    </row>
    <row r="45" spans="5:8" x14ac:dyDescent="0.3">
      <c r="E45" s="1">
        <v>2.8000001399999998E-2</v>
      </c>
      <c r="F45" s="8">
        <v>-3.9392002185599999</v>
      </c>
      <c r="G45" s="8">
        <f t="shared" si="0"/>
        <v>5.0607997814400001</v>
      </c>
      <c r="H45" s="8">
        <f t="shared" si="1"/>
        <v>-5.0607997814400001</v>
      </c>
    </row>
    <row r="46" spans="5:8" x14ac:dyDescent="0.3">
      <c r="E46" s="1">
        <v>2.8666668100000001E-2</v>
      </c>
      <c r="F46" s="8">
        <v>-3.1072001289600002</v>
      </c>
      <c r="G46" s="8">
        <f t="shared" si="0"/>
        <v>5.8927998710399994</v>
      </c>
      <c r="H46" s="8">
        <f t="shared" si="1"/>
        <v>-5.8927998710399994</v>
      </c>
    </row>
    <row r="47" spans="5:8" x14ac:dyDescent="0.3">
      <c r="E47" s="1">
        <v>2.9333334799999999E-2</v>
      </c>
      <c r="F47" s="8">
        <v>-2.3039999856</v>
      </c>
      <c r="G47" s="8">
        <f t="shared" si="0"/>
        <v>6.6960000144</v>
      </c>
      <c r="H47" s="8">
        <f t="shared" si="1"/>
        <v>-6.6960000144</v>
      </c>
    </row>
    <row r="48" spans="5:8" x14ac:dyDescent="0.3">
      <c r="E48" s="1">
        <v>3.0000001500000002E-2</v>
      </c>
      <c r="F48" s="8">
        <v>-1.6000004400000001</v>
      </c>
      <c r="G48" s="8">
        <f t="shared" si="0"/>
        <v>7.3999995599999995</v>
      </c>
      <c r="H48" s="8">
        <f t="shared" si="1"/>
        <v>-7.3999995599999995</v>
      </c>
    </row>
    <row r="49" spans="5:8" x14ac:dyDescent="0.3">
      <c r="E49" s="1">
        <v>3.06666682E-2</v>
      </c>
      <c r="F49" s="8">
        <v>-1.02400203362</v>
      </c>
      <c r="G49" s="8">
        <f t="shared" si="0"/>
        <v>7.9759979663799996</v>
      </c>
      <c r="H49" s="8">
        <f t="shared" si="1"/>
        <v>-7.9759979663799996</v>
      </c>
    </row>
    <row r="50" spans="5:8" x14ac:dyDescent="0.3">
      <c r="E50" s="1">
        <v>3.1333334900000002E-2</v>
      </c>
      <c r="F50" s="8">
        <v>-0.57600476644300003</v>
      </c>
      <c r="G50" s="8">
        <f t="shared" si="0"/>
        <v>8.4239952335569992</v>
      </c>
      <c r="H50" s="8">
        <f t="shared" si="1"/>
        <v>-8.4239952335569992</v>
      </c>
    </row>
    <row r="51" spans="5:8" x14ac:dyDescent="0.3">
      <c r="E51" s="1">
        <v>3.2000001600000001E-2</v>
      </c>
      <c r="F51" s="8">
        <v>-0.25600863847700001</v>
      </c>
      <c r="G51" s="8">
        <f t="shared" si="0"/>
        <v>8.7439913615229994</v>
      </c>
      <c r="H51" s="8">
        <f t="shared" si="1"/>
        <v>-8.7439913615229994</v>
      </c>
    </row>
    <row r="52" spans="5:8" x14ac:dyDescent="0.3">
      <c r="E52" s="1">
        <v>3.26666683E-2</v>
      </c>
      <c r="F52" s="8">
        <v>-6.4013649721900004E-2</v>
      </c>
      <c r="G52" s="8">
        <f t="shared" si="0"/>
        <v>8.9359863502780996</v>
      </c>
      <c r="H52" s="8">
        <f t="shared" si="1"/>
        <v>-8.9359863502780996</v>
      </c>
    </row>
    <row r="53" spans="5:8" x14ac:dyDescent="0.3">
      <c r="E53" s="1">
        <v>3.3333334999999999E-2</v>
      </c>
      <c r="F53" s="8">
        <v>-1.98002469299E-5</v>
      </c>
      <c r="G53" s="8">
        <f t="shared" si="0"/>
        <v>8.99998019975307</v>
      </c>
      <c r="H53" s="8">
        <f t="shared" si="1"/>
        <v>-8.99998019975307</v>
      </c>
    </row>
    <row r="54" spans="5:8" x14ac:dyDescent="0.3">
      <c r="E54" s="1">
        <v>3.4000001699999997E-2</v>
      </c>
      <c r="F54" s="8">
        <v>-8.9629210038599999E-2</v>
      </c>
      <c r="G54" s="8">
        <f t="shared" si="0"/>
        <v>8.9103707899613998</v>
      </c>
      <c r="H54" s="8">
        <f t="shared" si="1"/>
        <v>-8.9103707899613998</v>
      </c>
    </row>
    <row r="55" spans="5:8" x14ac:dyDescent="0.3">
      <c r="E55" s="1">
        <v>3.4666668400000003E-2</v>
      </c>
      <c r="F55" s="8">
        <v>-0.35843862341400001</v>
      </c>
      <c r="G55" s="8">
        <f t="shared" si="0"/>
        <v>8.6415613765860009</v>
      </c>
      <c r="H55" s="8">
        <f t="shared" si="1"/>
        <v>-8.6415613765860009</v>
      </c>
    </row>
    <row r="56" spans="5:8" x14ac:dyDescent="0.3">
      <c r="E56" s="1">
        <v>3.5333335100000002E-2</v>
      </c>
      <c r="F56" s="8">
        <v>-0.80644804037399997</v>
      </c>
      <c r="G56" s="8">
        <f t="shared" si="0"/>
        <v>8.1935519596259994</v>
      </c>
      <c r="H56" s="8">
        <f t="shared" si="1"/>
        <v>-8.1935519596259994</v>
      </c>
    </row>
    <row r="57" spans="5:8" x14ac:dyDescent="0.3">
      <c r="E57" s="1">
        <v>3.60000018E-2</v>
      </c>
      <c r="F57" s="8">
        <v>-1.4336574609199999</v>
      </c>
      <c r="G57" s="8">
        <f t="shared" si="0"/>
        <v>7.5663425390799999</v>
      </c>
      <c r="H57" s="8">
        <f t="shared" si="1"/>
        <v>-7.5663425390799999</v>
      </c>
    </row>
    <row r="58" spans="5:8" x14ac:dyDescent="0.3">
      <c r="E58" s="1">
        <v>3.6666668499999999E-2</v>
      </c>
      <c r="F58" s="8">
        <v>-2.2400668850500001</v>
      </c>
      <c r="G58" s="8">
        <f t="shared" si="0"/>
        <v>6.7599331149499999</v>
      </c>
      <c r="H58" s="8">
        <f t="shared" si="1"/>
        <v>-6.7599331149499999</v>
      </c>
    </row>
    <row r="59" spans="5:8" x14ac:dyDescent="0.3">
      <c r="E59" s="1">
        <v>3.7333335199999998E-2</v>
      </c>
      <c r="F59" s="8">
        <v>-3.2256763127600001</v>
      </c>
      <c r="G59" s="8">
        <f t="shared" si="0"/>
        <v>5.7743236872399999</v>
      </c>
      <c r="H59" s="8">
        <f t="shared" si="1"/>
        <v>-5.7743236872399999</v>
      </c>
    </row>
    <row r="60" spans="5:8" x14ac:dyDescent="0.3">
      <c r="E60" s="1">
        <v>3.8000001899999997E-2</v>
      </c>
      <c r="F60" s="8">
        <v>-4.3328777065599997</v>
      </c>
      <c r="G60" s="8">
        <f t="shared" si="0"/>
        <v>4.6671222934400003</v>
      </c>
      <c r="H60" s="8">
        <f t="shared" si="1"/>
        <v>-4.6671222934400003</v>
      </c>
    </row>
    <row r="61" spans="5:8" x14ac:dyDescent="0.3">
      <c r="E61" s="1">
        <v>3.8666668600000002E-2</v>
      </c>
      <c r="F61" s="8">
        <v>-5.4208764188799998</v>
      </c>
      <c r="G61" s="8">
        <f t="shared" si="0"/>
        <v>3.5791235811200002</v>
      </c>
      <c r="H61" s="8">
        <f t="shared" si="1"/>
        <v>-3.5791235811200002</v>
      </c>
    </row>
    <row r="62" spans="5:8" x14ac:dyDescent="0.3">
      <c r="E62" s="1">
        <v>3.9333335300000001E-2</v>
      </c>
      <c r="F62" s="8">
        <v>-6.4832751276099998</v>
      </c>
      <c r="G62" s="8">
        <f t="shared" si="0"/>
        <v>2.5167248723900002</v>
      </c>
      <c r="H62" s="8">
        <f t="shared" si="1"/>
        <v>-2.5167248723900002</v>
      </c>
    </row>
    <row r="63" spans="5:8" x14ac:dyDescent="0.3">
      <c r="E63" s="1">
        <v>4.0000002E-2</v>
      </c>
      <c r="F63" s="8">
        <v>-7.5200738327599996</v>
      </c>
      <c r="G63" s="8">
        <f t="shared" si="0"/>
        <v>1.4799261672400004</v>
      </c>
      <c r="H63" s="8">
        <f t="shared" si="1"/>
        <v>-1.4799261672400004</v>
      </c>
    </row>
    <row r="64" spans="5:8" x14ac:dyDescent="0.3">
      <c r="E64" s="1">
        <v>4.0666668699999999E-2</v>
      </c>
      <c r="F64" s="8">
        <v>-8.5312725343300002</v>
      </c>
      <c r="G64" s="8">
        <f t="shared" si="0"/>
        <v>0.46872746566999979</v>
      </c>
      <c r="H64" s="8">
        <f t="shared" si="1"/>
        <v>-0.46872746566999979</v>
      </c>
    </row>
    <row r="65" spans="5:8" x14ac:dyDescent="0.3">
      <c r="E65" s="1">
        <v>4.1333335399999997E-2</v>
      </c>
      <c r="F65" s="8">
        <v>-9.5168712323199998</v>
      </c>
      <c r="G65" s="8">
        <f t="shared" si="0"/>
        <v>-0.51687123231999976</v>
      </c>
      <c r="H65" s="8">
        <f t="shared" si="1"/>
        <v>0.51687123231999976</v>
      </c>
    </row>
    <row r="66" spans="5:8" x14ac:dyDescent="0.3">
      <c r="E66" s="1">
        <v>4.2000002100000003E-2</v>
      </c>
      <c r="F66" s="8">
        <v>-10.476869926699999</v>
      </c>
      <c r="G66" s="8">
        <f t="shared" si="0"/>
        <v>-1.4768699266999992</v>
      </c>
      <c r="H66" s="8">
        <f t="shared" si="1"/>
        <v>1.4768699266999992</v>
      </c>
    </row>
    <row r="67" spans="5:8" x14ac:dyDescent="0.3">
      <c r="E67" s="1">
        <v>4.2666668800000002E-2</v>
      </c>
      <c r="F67" s="8">
        <v>-11.411268617499999</v>
      </c>
      <c r="G67" s="8">
        <f t="shared" si="0"/>
        <v>-2.4112686174999993</v>
      </c>
      <c r="H67" s="8">
        <f t="shared" si="1"/>
        <v>2.4112686174999993</v>
      </c>
    </row>
    <row r="68" spans="5:8" x14ac:dyDescent="0.3">
      <c r="E68" s="1">
        <v>4.33333355E-2</v>
      </c>
      <c r="F68" s="8">
        <v>-12.3200673048</v>
      </c>
      <c r="G68" s="8">
        <f t="shared" ref="G68:G103" si="2">F68+9</f>
        <v>-3.3200673048000002</v>
      </c>
      <c r="H68" s="8">
        <f t="shared" ref="H68:H103" si="3">G68*-1</f>
        <v>3.3200673048000002</v>
      </c>
    </row>
    <row r="69" spans="5:8" x14ac:dyDescent="0.3">
      <c r="E69" s="1">
        <v>4.4000002199999999E-2</v>
      </c>
      <c r="F69" s="8">
        <v>-13.2032659884</v>
      </c>
      <c r="G69" s="8">
        <f t="shared" si="2"/>
        <v>-4.2032659884000001</v>
      </c>
      <c r="H69" s="8">
        <f t="shared" si="3"/>
        <v>4.2032659884000001</v>
      </c>
    </row>
    <row r="70" spans="5:8" x14ac:dyDescent="0.3">
      <c r="E70" s="1">
        <v>4.4666668899999998E-2</v>
      </c>
      <c r="F70" s="8">
        <v>-14.060864668500001</v>
      </c>
      <c r="G70" s="8">
        <f t="shared" si="2"/>
        <v>-5.0608646685000007</v>
      </c>
      <c r="H70" s="8">
        <f t="shared" si="3"/>
        <v>5.0608646685000007</v>
      </c>
    </row>
    <row r="71" spans="5:8" x14ac:dyDescent="0.3">
      <c r="E71" s="1">
        <v>4.5333335600000003E-2</v>
      </c>
      <c r="F71" s="8">
        <v>-14.892863345</v>
      </c>
      <c r="G71" s="8">
        <f t="shared" si="2"/>
        <v>-5.8928633450000003</v>
      </c>
      <c r="H71" s="8">
        <f t="shared" si="3"/>
        <v>5.8928633450000003</v>
      </c>
    </row>
    <row r="72" spans="5:8" x14ac:dyDescent="0.3">
      <c r="E72" s="1">
        <v>4.6000002300000002E-2</v>
      </c>
      <c r="F72" s="8">
        <v>-15.6960606526</v>
      </c>
      <c r="G72" s="8">
        <f t="shared" si="2"/>
        <v>-6.6960606525999999</v>
      </c>
      <c r="H72" s="8">
        <f t="shared" si="3"/>
        <v>6.6960606525999999</v>
      </c>
    </row>
    <row r="73" spans="5:8" x14ac:dyDescent="0.3">
      <c r="E73" s="1">
        <v>4.6666669000000001E-2</v>
      </c>
      <c r="F73" s="8">
        <v>-16.400053919800001</v>
      </c>
      <c r="G73" s="8">
        <f t="shared" si="2"/>
        <v>-7.4000539198000013</v>
      </c>
      <c r="H73" s="8">
        <f t="shared" si="3"/>
        <v>7.4000539198000013</v>
      </c>
    </row>
    <row r="74" spans="5:8" x14ac:dyDescent="0.3">
      <c r="E74" s="1">
        <v>4.73333357E-2</v>
      </c>
      <c r="F74" s="8">
        <v>-16.976047276599999</v>
      </c>
      <c r="G74" s="8">
        <f t="shared" si="2"/>
        <v>-7.9760472765999992</v>
      </c>
      <c r="H74" s="8">
        <f t="shared" si="3"/>
        <v>7.9760472765999992</v>
      </c>
    </row>
    <row r="75" spans="5:8" x14ac:dyDescent="0.3">
      <c r="E75" s="1">
        <v>4.8000002399999998E-2</v>
      </c>
      <c r="F75" s="8">
        <v>-17.424040723000001</v>
      </c>
      <c r="G75" s="8">
        <f t="shared" si="2"/>
        <v>-8.424040723000001</v>
      </c>
      <c r="H75" s="8">
        <f t="shared" si="3"/>
        <v>8.424040723000001</v>
      </c>
    </row>
    <row r="76" spans="5:8" x14ac:dyDescent="0.3">
      <c r="E76" s="1">
        <v>4.8666669099999997E-2</v>
      </c>
      <c r="F76" s="8">
        <v>-17.744034258999999</v>
      </c>
      <c r="G76" s="8">
        <f t="shared" si="2"/>
        <v>-8.7440342589999993</v>
      </c>
      <c r="H76" s="8">
        <f t="shared" si="3"/>
        <v>8.7440342589999993</v>
      </c>
    </row>
    <row r="77" spans="5:8" x14ac:dyDescent="0.3">
      <c r="E77" s="1">
        <v>4.9333335800000003E-2</v>
      </c>
      <c r="F77" s="8">
        <v>-17.936027884600001</v>
      </c>
      <c r="G77" s="8">
        <f t="shared" si="2"/>
        <v>-8.9360278846000014</v>
      </c>
      <c r="H77" s="8">
        <f t="shared" si="3"/>
        <v>8.9360278846000014</v>
      </c>
    </row>
    <row r="78" spans="5:8" x14ac:dyDescent="0.3">
      <c r="E78" s="1">
        <v>5.0000002500000001E-2</v>
      </c>
      <c r="F78" s="8">
        <v>-18.0000215998</v>
      </c>
      <c r="G78" s="8">
        <f t="shared" si="2"/>
        <v>-9.0000215998000002</v>
      </c>
      <c r="H78" s="8">
        <f t="shared" si="3"/>
        <v>9.0000215998000002</v>
      </c>
    </row>
    <row r="79" spans="5:8" x14ac:dyDescent="0.3">
      <c r="E79" s="1">
        <v>5.06666692E-2</v>
      </c>
      <c r="F79" s="8">
        <v>-17.910412711500001</v>
      </c>
      <c r="G79" s="8">
        <f t="shared" si="2"/>
        <v>-8.9104127115000011</v>
      </c>
      <c r="H79" s="8">
        <f t="shared" si="3"/>
        <v>8.9104127115000011</v>
      </c>
    </row>
    <row r="80" spans="5:8" x14ac:dyDescent="0.3">
      <c r="E80" s="1">
        <v>5.1333335899999999E-2</v>
      </c>
      <c r="F80" s="8">
        <v>-17.641603518499998</v>
      </c>
      <c r="G80" s="8">
        <f t="shared" si="2"/>
        <v>-8.6416035184999984</v>
      </c>
      <c r="H80" s="8">
        <f t="shared" si="3"/>
        <v>8.6416035184999984</v>
      </c>
    </row>
    <row r="81" spans="5:8" x14ac:dyDescent="0.3">
      <c r="E81" s="1">
        <v>5.2000002599999998E-2</v>
      </c>
      <c r="F81" s="8">
        <v>-17.193594020900001</v>
      </c>
      <c r="G81" s="8">
        <f t="shared" si="2"/>
        <v>-8.1935940209000009</v>
      </c>
      <c r="H81" s="8">
        <f t="shared" si="3"/>
        <v>8.1935940209000009</v>
      </c>
    </row>
    <row r="82" spans="5:8" x14ac:dyDescent="0.3">
      <c r="E82" s="1">
        <v>5.2666669300000003E-2</v>
      </c>
      <c r="F82" s="8">
        <v>-16.5663842186</v>
      </c>
      <c r="G82" s="8">
        <f t="shared" si="2"/>
        <v>-7.5663842185999997</v>
      </c>
      <c r="H82" s="8">
        <f t="shared" si="3"/>
        <v>7.5663842185999997</v>
      </c>
    </row>
    <row r="83" spans="5:8" x14ac:dyDescent="0.3">
      <c r="E83" s="1">
        <v>5.3333336000000002E-2</v>
      </c>
      <c r="F83" s="8">
        <v>-15.7599741117</v>
      </c>
      <c r="G83" s="8">
        <f t="shared" si="2"/>
        <v>-6.7599741117000001</v>
      </c>
      <c r="H83" s="8">
        <f t="shared" si="3"/>
        <v>6.7599741117000001</v>
      </c>
    </row>
    <row r="84" spans="5:8" x14ac:dyDescent="0.3">
      <c r="E84" s="1">
        <v>5.4000002700000001E-2</v>
      </c>
      <c r="F84" s="8">
        <v>-14.7743637002</v>
      </c>
      <c r="G84" s="8">
        <f t="shared" si="2"/>
        <v>-5.7743637002000003</v>
      </c>
      <c r="H84" s="8">
        <f t="shared" si="3"/>
        <v>5.7743637002000003</v>
      </c>
    </row>
    <row r="85" spans="5:8" x14ac:dyDescent="0.3">
      <c r="E85" s="1">
        <v>5.4666669399999999E-2</v>
      </c>
      <c r="F85" s="8">
        <v>-13.667162137</v>
      </c>
      <c r="G85" s="8">
        <f t="shared" si="2"/>
        <v>-4.667162137</v>
      </c>
      <c r="H85" s="8">
        <f t="shared" si="3"/>
        <v>4.667162137</v>
      </c>
    </row>
    <row r="86" spans="5:8" x14ac:dyDescent="0.3">
      <c r="E86" s="1">
        <v>5.5333336099999998E-2</v>
      </c>
      <c r="F86" s="8">
        <v>-12.5791635706</v>
      </c>
      <c r="G86" s="8">
        <f t="shared" si="2"/>
        <v>-3.5791635706000005</v>
      </c>
      <c r="H86" s="8">
        <f t="shared" si="3"/>
        <v>3.5791635706000005</v>
      </c>
    </row>
    <row r="87" spans="5:8" x14ac:dyDescent="0.3">
      <c r="E87" s="1">
        <v>5.6000002799999997E-2</v>
      </c>
      <c r="F87" s="8">
        <v>-11.5167649863</v>
      </c>
      <c r="G87" s="8">
        <f t="shared" si="2"/>
        <v>-2.5167649863000001</v>
      </c>
      <c r="H87" s="8">
        <f t="shared" si="3"/>
        <v>2.5167649863000001</v>
      </c>
    </row>
    <row r="88" spans="5:8" x14ac:dyDescent="0.3">
      <c r="E88" s="1">
        <v>5.6666669500000003E-2</v>
      </c>
      <c r="F88" s="8">
        <v>-10.479966384000001</v>
      </c>
      <c r="G88" s="8">
        <f t="shared" si="2"/>
        <v>-1.4799663840000008</v>
      </c>
      <c r="H88" s="8">
        <f t="shared" si="3"/>
        <v>1.4799663840000008</v>
      </c>
    </row>
    <row r="89" spans="5:8" x14ac:dyDescent="0.3">
      <c r="E89" s="1">
        <v>5.7333336200000001E-2</v>
      </c>
      <c r="F89" s="8">
        <v>-9.4687677638800007</v>
      </c>
      <c r="G89" s="8">
        <f t="shared" si="2"/>
        <v>-0.46876776388000074</v>
      </c>
      <c r="H89" s="8">
        <f t="shared" si="3"/>
        <v>0.46876776388000074</v>
      </c>
    </row>
    <row r="90" spans="5:8" x14ac:dyDescent="0.3">
      <c r="E90" s="1">
        <v>5.80000029E-2</v>
      </c>
      <c r="F90" s="8">
        <v>-8.4831691257999999</v>
      </c>
      <c r="G90" s="8">
        <f t="shared" si="2"/>
        <v>0.51683087420000007</v>
      </c>
      <c r="H90" s="8">
        <f t="shared" si="3"/>
        <v>-0.51683087420000007</v>
      </c>
    </row>
    <row r="91" spans="5:8" x14ac:dyDescent="0.3">
      <c r="E91" s="1">
        <v>5.8666669599999999E-2</v>
      </c>
      <c r="F91" s="8">
        <v>-7.5231704698000001</v>
      </c>
      <c r="G91" s="8">
        <f t="shared" si="2"/>
        <v>1.4768295301999999</v>
      </c>
      <c r="H91" s="8">
        <f t="shared" si="3"/>
        <v>-1.4768295301999999</v>
      </c>
    </row>
    <row r="92" spans="5:8" x14ac:dyDescent="0.3">
      <c r="E92" s="1">
        <v>5.9333336299999997E-2</v>
      </c>
      <c r="F92" s="8">
        <v>-6.5887717958799996</v>
      </c>
      <c r="G92" s="8">
        <f t="shared" si="2"/>
        <v>2.4112282041200004</v>
      </c>
      <c r="H92" s="8">
        <f t="shared" si="3"/>
        <v>-2.4112282041200004</v>
      </c>
    </row>
    <row r="93" spans="5:8" x14ac:dyDescent="0.3">
      <c r="E93" s="1">
        <v>6.0000003000000003E-2</v>
      </c>
      <c r="F93" s="8">
        <v>-5.6799731040400001</v>
      </c>
      <c r="G93" s="8">
        <f t="shared" si="2"/>
        <v>3.3200268959599999</v>
      </c>
      <c r="H93" s="8">
        <f t="shared" si="3"/>
        <v>-3.3200268959599999</v>
      </c>
    </row>
    <row r="94" spans="5:8" x14ac:dyDescent="0.3">
      <c r="E94" s="1">
        <v>6.0666669700000002E-2</v>
      </c>
      <c r="F94" s="8">
        <v>-4.7967743942699999</v>
      </c>
      <c r="G94" s="8">
        <f t="shared" si="2"/>
        <v>4.2032256057300001</v>
      </c>
      <c r="H94" s="8">
        <f t="shared" si="3"/>
        <v>-4.2032256057300001</v>
      </c>
    </row>
    <row r="95" spans="5:8" x14ac:dyDescent="0.3">
      <c r="E95" s="1">
        <v>6.1333336400000001E-2</v>
      </c>
      <c r="F95" s="8">
        <v>-3.9391756665900002</v>
      </c>
      <c r="G95" s="8">
        <f t="shared" si="2"/>
        <v>5.0608243334100003</v>
      </c>
      <c r="H95" s="8">
        <f t="shared" si="3"/>
        <v>-5.0608243334100003</v>
      </c>
    </row>
    <row r="96" spans="5:8" x14ac:dyDescent="0.3">
      <c r="E96" s="1">
        <v>6.2000003099999999E-2</v>
      </c>
      <c r="F96" s="8">
        <v>-3.1071769209900002</v>
      </c>
      <c r="G96" s="8">
        <f t="shared" si="2"/>
        <v>5.8928230790100002</v>
      </c>
      <c r="H96" s="8">
        <f t="shared" si="3"/>
        <v>-5.8928230790100002</v>
      </c>
    </row>
    <row r="97" spans="5:8" x14ac:dyDescent="0.3">
      <c r="E97" s="1">
        <v>6.2666669800000005E-2</v>
      </c>
      <c r="F97" s="8">
        <v>-2.3039794657699999</v>
      </c>
      <c r="G97" s="8">
        <f t="shared" si="2"/>
        <v>6.6960205342299997</v>
      </c>
      <c r="H97" s="8">
        <f t="shared" si="3"/>
        <v>-6.6960205342299997</v>
      </c>
    </row>
    <row r="98" spans="5:8" x14ac:dyDescent="0.3">
      <c r="E98" s="1">
        <v>6.3333336500000004E-2</v>
      </c>
      <c r="F98" s="8">
        <v>-1.59998664024</v>
      </c>
      <c r="G98" s="8">
        <f t="shared" si="2"/>
        <v>7.40001335976</v>
      </c>
      <c r="H98" s="8">
        <f t="shared" si="3"/>
        <v>-7.40001335976</v>
      </c>
    </row>
    <row r="99" spans="5:8" x14ac:dyDescent="0.3">
      <c r="E99" s="1">
        <v>6.4000003200000002E-2</v>
      </c>
      <c r="F99" s="8">
        <v>-1.0239949539099999</v>
      </c>
      <c r="G99" s="8">
        <f t="shared" si="2"/>
        <v>7.9760050460900001</v>
      </c>
      <c r="H99" s="8">
        <f t="shared" si="3"/>
        <v>-7.9760050460900001</v>
      </c>
    </row>
    <row r="100" spans="5:8" x14ac:dyDescent="0.3">
      <c r="E100" s="1">
        <v>6.4666669900000001E-2</v>
      </c>
      <c r="F100" s="8">
        <v>-0.576004406794</v>
      </c>
      <c r="G100" s="8">
        <f t="shared" si="2"/>
        <v>8.4239955932059996</v>
      </c>
      <c r="H100" s="8">
        <f t="shared" si="3"/>
        <v>-8.4239955932059996</v>
      </c>
    </row>
    <row r="101" spans="5:8" x14ac:dyDescent="0.3">
      <c r="E101" s="1">
        <v>6.53333366E-2</v>
      </c>
      <c r="F101" s="8">
        <v>-0.256014998888</v>
      </c>
      <c r="G101" s="8">
        <f t="shared" si="2"/>
        <v>8.7439850011119997</v>
      </c>
      <c r="H101" s="8">
        <f t="shared" si="3"/>
        <v>-8.7439850011119997</v>
      </c>
    </row>
    <row r="102" spans="5:8" x14ac:dyDescent="0.3">
      <c r="E102" s="1">
        <v>6.6000003299999999E-2</v>
      </c>
      <c r="F102" s="8">
        <v>-6.4026730191600004E-2</v>
      </c>
      <c r="G102" s="8">
        <f t="shared" si="2"/>
        <v>8.9359732698084002</v>
      </c>
      <c r="H102" s="8">
        <f t="shared" si="3"/>
        <v>-8.9359732698084002</v>
      </c>
    </row>
    <row r="103" spans="5:8" x14ac:dyDescent="0.3">
      <c r="E103" s="1">
        <v>6.6666669999999997E-2</v>
      </c>
      <c r="F103" s="8">
        <v>-3.96009877656E-5</v>
      </c>
      <c r="G103" s="8">
        <f t="shared" si="2"/>
        <v>8.9999603990122345</v>
      </c>
      <c r="H103" s="8">
        <f t="shared" si="3"/>
        <v>-8.9999603990122345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3"/>
  <sheetViews>
    <sheetView zoomScaleNormal="100" workbookViewId="0">
      <selection activeCell="G3" sqref="G3"/>
    </sheetView>
  </sheetViews>
  <sheetFormatPr defaultColWidth="8.6640625" defaultRowHeight="14.4" x14ac:dyDescent="0.3"/>
  <cols>
    <col min="3" max="3" width="12" bestFit="1" customWidth="1"/>
    <col min="4" max="4" width="12.6640625" bestFit="1" customWidth="1"/>
    <col min="5" max="5" width="11" bestFit="1" customWidth="1"/>
    <col min="6" max="6" width="2.77734375" customWidth="1"/>
    <col min="7" max="7" width="18.21875" bestFit="1" customWidth="1"/>
  </cols>
  <sheetData>
    <row r="1" spans="1:7" x14ac:dyDescent="0.3">
      <c r="A1" s="5"/>
      <c r="B1" s="5"/>
      <c r="C1" s="5"/>
      <c r="D1" s="6"/>
      <c r="E1" s="6"/>
      <c r="F1" s="5"/>
    </row>
    <row r="2" spans="1:7" x14ac:dyDescent="0.3">
      <c r="B2" s="1" t="s">
        <v>0</v>
      </c>
      <c r="C2" s="1" t="s">
        <v>7</v>
      </c>
      <c r="D2" s="1" t="s">
        <v>2</v>
      </c>
      <c r="E2" s="1" t="s">
        <v>4</v>
      </c>
      <c r="G2" s="1" t="s">
        <v>11</v>
      </c>
    </row>
    <row r="3" spans="1:7" x14ac:dyDescent="0.3">
      <c r="B3" s="1">
        <v>0</v>
      </c>
      <c r="C3" s="8">
        <f>'Motion Profile'!G3</f>
        <v>9</v>
      </c>
      <c r="D3" s="2">
        <v>-512.66490129800002</v>
      </c>
      <c r="E3" s="2">
        <v>2.5560904844600001E-6</v>
      </c>
      <c r="G3" s="2">
        <f>D3/2</f>
        <v>-256.33245064900001</v>
      </c>
    </row>
    <row r="4" spans="1:7" x14ac:dyDescent="0.3">
      <c r="B4" s="1">
        <v>6.6666670000000003E-4</v>
      </c>
      <c r="C4" s="8">
        <f>'Motion Profile'!G4</f>
        <v>8.9103999982079998</v>
      </c>
      <c r="D4" s="2">
        <v>-492.79490185399999</v>
      </c>
      <c r="E4" s="2">
        <v>-8.2790127631499999</v>
      </c>
      <c r="G4" s="2">
        <f t="shared" ref="G4:G67" si="0">D4/2</f>
        <v>-246.39745092699999</v>
      </c>
    </row>
    <row r="5" spans="1:7" x14ac:dyDescent="0.3">
      <c r="B5" s="1">
        <v>1.3333334000000001E-3</v>
      </c>
      <c r="C5" s="8">
        <f>'Motion Profile'!G5</f>
        <v>8.6415999928319991</v>
      </c>
      <c r="D5" s="2">
        <v>-423.49266635700002</v>
      </c>
      <c r="E5" s="2">
        <v>-21.285975449799999</v>
      </c>
      <c r="G5" s="2">
        <f t="shared" si="0"/>
        <v>-211.74633317850001</v>
      </c>
    </row>
    <row r="6" spans="1:7" x14ac:dyDescent="0.3">
      <c r="B6" s="1">
        <v>2.0000001000000001E-3</v>
      </c>
      <c r="C6" s="8">
        <f>'Motion Profile'!G6</f>
        <v>8.1935999838719997</v>
      </c>
      <c r="D6" s="2">
        <v>-275.61818104600002</v>
      </c>
      <c r="E6" s="2">
        <v>-23.975119150800001</v>
      </c>
      <c r="G6" s="2">
        <f t="shared" si="0"/>
        <v>-137.80909052300001</v>
      </c>
    </row>
    <row r="7" spans="1:7" x14ac:dyDescent="0.3">
      <c r="B7" s="1">
        <v>2.6666668000000001E-3</v>
      </c>
      <c r="C7" s="8">
        <f>'Motion Profile'!G7</f>
        <v>7.5663999713300001</v>
      </c>
      <c r="D7" s="2">
        <v>-15.3774013823</v>
      </c>
      <c r="E7" s="2">
        <v>-12.7737015087</v>
      </c>
      <c r="G7" s="2">
        <f t="shared" si="0"/>
        <v>-7.6887006911500002</v>
      </c>
    </row>
    <row r="8" spans="1:7" x14ac:dyDescent="0.3">
      <c r="B8" s="1">
        <v>3.3333335000000001E-3</v>
      </c>
      <c r="C8" s="8">
        <f>'Motion Profile'!G8</f>
        <v>6.7599999551999996</v>
      </c>
      <c r="D8" s="2">
        <v>316.50979052500003</v>
      </c>
      <c r="E8" s="2">
        <v>18.650795451</v>
      </c>
      <c r="G8" s="2">
        <f t="shared" si="0"/>
        <v>158.25489526250001</v>
      </c>
    </row>
    <row r="9" spans="1:7" x14ac:dyDescent="0.3">
      <c r="B9" s="1">
        <v>4.0000002000000002E-3</v>
      </c>
      <c r="C9" s="8">
        <f>'Motion Profile'!G9</f>
        <v>5.77439993549</v>
      </c>
      <c r="D9" s="2">
        <v>588.99771717700003</v>
      </c>
      <c r="E9" s="2">
        <v>60.614161231499999</v>
      </c>
      <c r="G9" s="2">
        <f t="shared" si="0"/>
        <v>294.49885858850001</v>
      </c>
    </row>
    <row r="10" spans="1:7" x14ac:dyDescent="0.3">
      <c r="B10" s="1">
        <v>4.6666668999999997E-3</v>
      </c>
      <c r="C10" s="8">
        <f>'Motion Profile'!G10</f>
        <v>4.6671998854099996</v>
      </c>
      <c r="D10" s="2">
        <v>620.440778755</v>
      </c>
      <c r="E10" s="2">
        <v>138.803227991</v>
      </c>
      <c r="G10" s="2">
        <f t="shared" si="0"/>
        <v>310.2203893775</v>
      </c>
    </row>
    <row r="11" spans="1:7" x14ac:dyDescent="0.3">
      <c r="B11" s="1">
        <v>5.3333336000000002E-3</v>
      </c>
      <c r="C11" s="8">
        <f>'Motion Profile'!G11</f>
        <v>3.5791998290900002</v>
      </c>
      <c r="D11" s="2">
        <v>444.50219599500002</v>
      </c>
      <c r="E11" s="2">
        <v>206.963267618</v>
      </c>
      <c r="G11" s="2">
        <f t="shared" si="0"/>
        <v>222.25109799750001</v>
      </c>
    </row>
    <row r="12" spans="1:7" x14ac:dyDescent="0.3">
      <c r="B12" s="1">
        <v>6.0000002999999998E-3</v>
      </c>
      <c r="C12" s="8">
        <f>'Motion Profile'!G12</f>
        <v>2.5167997763500001</v>
      </c>
      <c r="D12" s="2">
        <v>254.15374406399999</v>
      </c>
      <c r="E12" s="2">
        <v>236.08471172899999</v>
      </c>
      <c r="G12" s="2">
        <f t="shared" si="0"/>
        <v>127.076872032</v>
      </c>
    </row>
    <row r="13" spans="1:7" x14ac:dyDescent="0.3">
      <c r="B13" s="1">
        <v>6.6666670000000003E-3</v>
      </c>
      <c r="C13" s="8">
        <f>'Motion Profile'!G13</f>
        <v>1.4799997272000001</v>
      </c>
      <c r="D13" s="2">
        <v>122.972808521</v>
      </c>
      <c r="E13" s="2">
        <v>241.570363923</v>
      </c>
      <c r="G13" s="2">
        <f t="shared" si="0"/>
        <v>61.486404260500002</v>
      </c>
    </row>
    <row r="14" spans="1:7" x14ac:dyDescent="0.3">
      <c r="B14" s="1">
        <v>7.3333336999999998E-3</v>
      </c>
      <c r="C14" s="8">
        <f>'Motion Profile'!G14</f>
        <v>0.4687996816299993</v>
      </c>
      <c r="D14" s="2">
        <v>31.109421295299999</v>
      </c>
      <c r="E14" s="2">
        <v>240.95522875099999</v>
      </c>
      <c r="G14" s="2">
        <f t="shared" si="0"/>
        <v>15.554710647649999</v>
      </c>
    </row>
    <row r="15" spans="1:7" x14ac:dyDescent="0.3">
      <c r="B15" s="1">
        <v>8.0000004000000003E-3</v>
      </c>
      <c r="C15" s="8">
        <f>'Motion Profile'!G15</f>
        <v>-0.51680036035000043</v>
      </c>
      <c r="D15" s="2">
        <v>-46.120367992399999</v>
      </c>
      <c r="E15" s="2">
        <v>236.03354236600001</v>
      </c>
      <c r="G15" s="2">
        <f t="shared" si="0"/>
        <v>-23.060183996199999</v>
      </c>
    </row>
    <row r="16" spans="1:7" x14ac:dyDescent="0.3">
      <c r="B16" s="1">
        <v>8.6666671000000008E-3</v>
      </c>
      <c r="C16" s="8">
        <f>'Motion Profile'!G16</f>
        <v>-1.4768003988</v>
      </c>
      <c r="D16" s="2">
        <v>-119.418065152</v>
      </c>
      <c r="E16" s="2">
        <v>227.91995311299999</v>
      </c>
      <c r="G16" s="2">
        <f t="shared" si="0"/>
        <v>-59.709032575999998</v>
      </c>
    </row>
    <row r="17" spans="2:7" x14ac:dyDescent="0.3">
      <c r="B17" s="1">
        <v>9.3333337999999995E-3</v>
      </c>
      <c r="C17" s="8">
        <f>'Motion Profile'!G17</f>
        <v>-2.4112004335999995</v>
      </c>
      <c r="D17" s="2">
        <v>-220.59641170399999</v>
      </c>
      <c r="E17" s="2">
        <v>217.34398732400001</v>
      </c>
      <c r="G17" s="2">
        <f t="shared" si="0"/>
        <v>-110.298205852</v>
      </c>
    </row>
    <row r="18" spans="2:7" x14ac:dyDescent="0.3">
      <c r="B18" s="1">
        <v>1.00000005E-2</v>
      </c>
      <c r="C18" s="8">
        <f>'Motion Profile'!G18</f>
        <v>-3.3200004647999997</v>
      </c>
      <c r="D18" s="2">
        <v>-363.94307924499998</v>
      </c>
      <c r="E18" s="2">
        <v>203.53763349499999</v>
      </c>
      <c r="G18" s="2">
        <f t="shared" si="0"/>
        <v>-181.97153962249999</v>
      </c>
    </row>
    <row r="19" spans="2:7" x14ac:dyDescent="0.3">
      <c r="B19" s="1">
        <v>1.06666672E-2</v>
      </c>
      <c r="C19" s="8">
        <f>'Motion Profile'!G19</f>
        <v>-4.2032004924000006</v>
      </c>
      <c r="D19" s="2">
        <v>-528.46336211200003</v>
      </c>
      <c r="E19" s="2">
        <v>181.65103516400001</v>
      </c>
      <c r="G19" s="2">
        <f t="shared" si="0"/>
        <v>-264.23168105600001</v>
      </c>
    </row>
    <row r="20" spans="2:7" x14ac:dyDescent="0.3">
      <c r="B20" s="1">
        <v>1.1333333900000001E-2</v>
      </c>
      <c r="C20" s="8">
        <f>'Motion Profile'!G20</f>
        <v>-5.0608005165000005</v>
      </c>
      <c r="D20" s="2">
        <v>-605.01469824900005</v>
      </c>
      <c r="E20" s="2">
        <v>140.01237569700001</v>
      </c>
      <c r="G20" s="2">
        <f t="shared" si="0"/>
        <v>-302.50734912450002</v>
      </c>
    </row>
    <row r="21" spans="2:7" x14ac:dyDescent="0.3">
      <c r="B21" s="1">
        <v>1.20000006E-2</v>
      </c>
      <c r="C21" s="8">
        <f>'Motion Profile'!G21</f>
        <v>-5.8928005369999994</v>
      </c>
      <c r="D21" s="2">
        <v>-530.20983713199996</v>
      </c>
      <c r="E21" s="2">
        <v>92.415478393100003</v>
      </c>
      <c r="G21" s="2">
        <f t="shared" si="0"/>
        <v>-265.10491856599998</v>
      </c>
    </row>
    <row r="22" spans="2:7" x14ac:dyDescent="0.3">
      <c r="B22" s="1">
        <v>1.26666673E-2</v>
      </c>
      <c r="C22" s="8">
        <f>'Motion Profile'!G22</f>
        <v>-6.6960005327999994</v>
      </c>
      <c r="D22" s="2">
        <v>-310.24858749499998</v>
      </c>
      <c r="E22" s="2">
        <v>49.564363260299999</v>
      </c>
      <c r="G22" s="2">
        <f t="shared" si="0"/>
        <v>-155.12429374749999</v>
      </c>
    </row>
    <row r="23" spans="2:7" x14ac:dyDescent="0.3">
      <c r="B23" s="1">
        <v>1.3333334000000001E-2</v>
      </c>
      <c r="C23" s="8">
        <f>'Motion Profile'!G23</f>
        <v>-7.400000519999999</v>
      </c>
      <c r="D23" s="2">
        <v>-28.6615878683</v>
      </c>
      <c r="E23" s="2">
        <v>14.9236646216</v>
      </c>
      <c r="G23" s="2">
        <f t="shared" si="0"/>
        <v>-14.33079393415</v>
      </c>
    </row>
    <row r="24" spans="2:7" x14ac:dyDescent="0.3">
      <c r="B24" s="1">
        <v>1.4000000699999999E-2</v>
      </c>
      <c r="C24" s="8">
        <f>'Motion Profile'!G24</f>
        <v>-7.9760005967999987</v>
      </c>
      <c r="D24" s="2">
        <v>214.67233874999999</v>
      </c>
      <c r="E24" s="2">
        <v>-4.4584933530199997</v>
      </c>
      <c r="G24" s="2">
        <f t="shared" si="0"/>
        <v>107.336169375</v>
      </c>
    </row>
    <row r="25" spans="2:7" x14ac:dyDescent="0.3">
      <c r="B25" s="1">
        <v>1.46666674E-2</v>
      </c>
      <c r="C25" s="8">
        <f>'Motion Profile'!G25</f>
        <v>-8.4240007631999987</v>
      </c>
      <c r="D25" s="2">
        <v>384.62455224299998</v>
      </c>
      <c r="E25" s="2">
        <v>-14.9624191199</v>
      </c>
      <c r="G25" s="2">
        <f t="shared" si="0"/>
        <v>192.31227612149999</v>
      </c>
    </row>
    <row r="26" spans="2:7" x14ac:dyDescent="0.3">
      <c r="B26" s="1">
        <v>1.53333341E-2</v>
      </c>
      <c r="C26" s="8">
        <f>'Motion Profile'!G26</f>
        <v>-8.7440010191999988</v>
      </c>
      <c r="D26" s="2">
        <v>483.336154308</v>
      </c>
      <c r="E26" s="2">
        <v>-17.474427798899999</v>
      </c>
      <c r="G26" s="2">
        <f t="shared" si="0"/>
        <v>241.668077154</v>
      </c>
    </row>
    <row r="27" spans="2:7" x14ac:dyDescent="0.3">
      <c r="B27" s="1">
        <v>1.6000000800000001E-2</v>
      </c>
      <c r="C27" s="8">
        <f>'Motion Profile'!G27</f>
        <v>-8.9360013647999992</v>
      </c>
      <c r="D27" s="2">
        <v>532.03925010499995</v>
      </c>
      <c r="E27" s="2">
        <v>-13.3078787424</v>
      </c>
      <c r="G27" s="2">
        <f t="shared" si="0"/>
        <v>266.01962505249998</v>
      </c>
    </row>
    <row r="28" spans="2:7" x14ac:dyDescent="0.3">
      <c r="B28" s="1">
        <v>1.6666667499999999E-2</v>
      </c>
      <c r="C28" s="8">
        <f>'Motion Profile'!G28</f>
        <v>-9.0000017999999997</v>
      </c>
      <c r="D28" s="2">
        <v>546.60164895399998</v>
      </c>
      <c r="E28" s="2">
        <v>-4.9037091288500001</v>
      </c>
      <c r="G28" s="2">
        <f t="shared" si="0"/>
        <v>273.30082447699999</v>
      </c>
    </row>
    <row r="29" spans="2:7" x14ac:dyDescent="0.3">
      <c r="B29" s="1">
        <v>1.7333334200000002E-2</v>
      </c>
      <c r="C29" s="8">
        <f>'Motion Profile'!G29</f>
        <v>-8.9104023197000011</v>
      </c>
      <c r="D29" s="2">
        <v>526.00013034599999</v>
      </c>
      <c r="E29" s="2">
        <v>6.8072896161700003</v>
      </c>
      <c r="G29" s="2">
        <f t="shared" si="0"/>
        <v>263.000065173</v>
      </c>
    </row>
    <row r="30" spans="2:7" x14ac:dyDescent="0.3">
      <c r="B30" s="1">
        <v>1.80000009E-2</v>
      </c>
      <c r="C30" s="8">
        <f>'Motion Profile'!G30</f>
        <v>-8.6416025346999987</v>
      </c>
      <c r="D30" s="2">
        <v>454.16347350000001</v>
      </c>
      <c r="E30" s="2">
        <v>17.615290570100001</v>
      </c>
      <c r="G30" s="2">
        <f t="shared" si="0"/>
        <v>227.08173675</v>
      </c>
    </row>
    <row r="31" spans="2:7" x14ac:dyDescent="0.3">
      <c r="B31" s="1">
        <v>1.8666667599999999E-2</v>
      </c>
      <c r="C31" s="8">
        <f>'Motion Profile'!G31</f>
        <v>-8.1936024451000016</v>
      </c>
      <c r="D31" s="2">
        <v>300.65729678700001</v>
      </c>
      <c r="E31" s="2">
        <v>20.3006135386</v>
      </c>
      <c r="G31" s="2">
        <f t="shared" si="0"/>
        <v>150.3286483935</v>
      </c>
    </row>
    <row r="32" spans="2:7" x14ac:dyDescent="0.3">
      <c r="B32" s="1">
        <v>1.9333334300000001E-2</v>
      </c>
      <c r="C32" s="8">
        <f>'Motion Profile'!G32</f>
        <v>-7.566402050899999</v>
      </c>
      <c r="D32" s="2">
        <v>42.343769297800002</v>
      </c>
      <c r="E32" s="2">
        <v>10.5903299838</v>
      </c>
      <c r="G32" s="2">
        <f t="shared" si="0"/>
        <v>21.171884648900001</v>
      </c>
    </row>
    <row r="33" spans="2:7" x14ac:dyDescent="0.3">
      <c r="B33" s="1">
        <v>2.0000001E-2</v>
      </c>
      <c r="C33" s="8">
        <f>'Motion Profile'!G33</f>
        <v>-6.7600013519999997</v>
      </c>
      <c r="D33" s="2">
        <v>-287.26549350300002</v>
      </c>
      <c r="E33" s="2">
        <v>-12.782540490200001</v>
      </c>
      <c r="G33" s="2">
        <f t="shared" si="0"/>
        <v>-143.63274675150001</v>
      </c>
    </row>
    <row r="34" spans="2:7" x14ac:dyDescent="0.3">
      <c r="B34" s="1">
        <v>2.0666667699999999E-2</v>
      </c>
      <c r="C34" s="8">
        <f>'Motion Profile'!G34</f>
        <v>-5.7744003485000004</v>
      </c>
      <c r="D34" s="2">
        <v>-550.47717780999994</v>
      </c>
      <c r="E34" s="2">
        <v>-62.447687532800003</v>
      </c>
      <c r="G34" s="2">
        <f t="shared" si="0"/>
        <v>-275.23858890499997</v>
      </c>
    </row>
    <row r="35" spans="2:7" x14ac:dyDescent="0.3">
      <c r="B35" s="1">
        <v>2.1333334400000001E-2</v>
      </c>
      <c r="C35" s="8">
        <f>'Motion Profile'!G35</f>
        <v>-4.6672001289999994</v>
      </c>
      <c r="D35" s="2">
        <v>-586.05097275499998</v>
      </c>
      <c r="E35" s="2">
        <v>-140.77570951300001</v>
      </c>
      <c r="G35" s="2">
        <f t="shared" si="0"/>
        <v>-293.02548637749999</v>
      </c>
    </row>
    <row r="36" spans="2:7" x14ac:dyDescent="0.3">
      <c r="B36" s="1">
        <v>2.20000011E-2</v>
      </c>
      <c r="C36" s="8">
        <f>'Motion Profile'!G36</f>
        <v>-3.5792002186000005</v>
      </c>
      <c r="D36" s="2">
        <v>-414.759848551</v>
      </c>
      <c r="E36" s="2">
        <v>-206.575608303</v>
      </c>
      <c r="G36" s="2">
        <f t="shared" si="0"/>
        <v>-207.3799242755</v>
      </c>
    </row>
    <row r="37" spans="2:7" x14ac:dyDescent="0.3">
      <c r="B37" s="1">
        <v>2.2666667800000002E-2</v>
      </c>
      <c r="C37" s="8">
        <f>'Motion Profile'!G37</f>
        <v>-2.5168002902000008</v>
      </c>
      <c r="D37" s="2">
        <v>-233.885291669</v>
      </c>
      <c r="E37" s="2">
        <v>-235.675022445</v>
      </c>
      <c r="G37" s="2">
        <f t="shared" si="0"/>
        <v>-116.9426458345</v>
      </c>
    </row>
    <row r="38" spans="2:7" x14ac:dyDescent="0.3">
      <c r="B38" s="1">
        <v>2.33333345E-2</v>
      </c>
      <c r="C38" s="8">
        <f>'Motion Profile'!G38</f>
        <v>-1.4800003440000005</v>
      </c>
      <c r="D38" s="2">
        <v>-119.72389113200001</v>
      </c>
      <c r="E38" s="2">
        <v>-240.640826154</v>
      </c>
      <c r="G38" s="2">
        <f t="shared" si="0"/>
        <v>-59.861945566000003</v>
      </c>
    </row>
    <row r="39" spans="2:7" x14ac:dyDescent="0.3">
      <c r="B39" s="1">
        <v>2.4000001199999999E-2</v>
      </c>
      <c r="C39" s="8">
        <f>'Motion Profile'!G39</f>
        <v>-0.46880037983999934</v>
      </c>
      <c r="D39" s="2">
        <v>-42.808390231200001</v>
      </c>
      <c r="E39" s="2">
        <v>-240.11467170399999</v>
      </c>
      <c r="G39" s="2">
        <f t="shared" si="0"/>
        <v>-21.4041951156</v>
      </c>
    </row>
    <row r="40" spans="2:7" x14ac:dyDescent="0.3">
      <c r="B40" s="1">
        <v>2.4666667900000001E-2</v>
      </c>
      <c r="C40" s="8">
        <f>'Motion Profile'!G40</f>
        <v>0.51679960224000077</v>
      </c>
      <c r="D40" s="2">
        <v>35.239816862799998</v>
      </c>
      <c r="E40" s="2">
        <v>-236.08822139899999</v>
      </c>
      <c r="G40" s="2">
        <f t="shared" si="0"/>
        <v>17.619908431399999</v>
      </c>
    </row>
    <row r="41" spans="2:7" x14ac:dyDescent="0.3">
      <c r="B41" s="1">
        <v>2.53333346E-2</v>
      </c>
      <c r="C41" s="8">
        <f>'Motion Profile'!G41</f>
        <v>1.4767996022399998</v>
      </c>
      <c r="D41" s="2">
        <v>122.659010771</v>
      </c>
      <c r="E41" s="2">
        <v>-228.70231752399999</v>
      </c>
      <c r="G41" s="2">
        <f t="shared" si="0"/>
        <v>61.329505385499999</v>
      </c>
    </row>
    <row r="42" spans="2:7" x14ac:dyDescent="0.3">
      <c r="B42" s="1">
        <v>2.6000001299999999E-2</v>
      </c>
      <c r="C42" s="8">
        <f>'Motion Profile'!G42</f>
        <v>2.4111996201599997</v>
      </c>
      <c r="D42" s="2">
        <v>237.90393129500001</v>
      </c>
      <c r="E42" s="2">
        <v>-218.16877625399999</v>
      </c>
      <c r="G42" s="2">
        <f t="shared" si="0"/>
        <v>118.9519656475</v>
      </c>
    </row>
    <row r="43" spans="2:7" x14ac:dyDescent="0.3">
      <c r="B43" s="1">
        <v>2.6666668000000001E-2</v>
      </c>
      <c r="C43" s="8">
        <f>'Motion Profile'!G43</f>
        <v>3.3199996560000002</v>
      </c>
      <c r="D43" s="2">
        <v>392.02840911700002</v>
      </c>
      <c r="E43" s="2">
        <v>-203.98955857000001</v>
      </c>
      <c r="G43" s="2">
        <f t="shared" si="0"/>
        <v>196.01420455850001</v>
      </c>
    </row>
    <row r="44" spans="2:7" x14ac:dyDescent="0.3">
      <c r="B44" s="1">
        <v>2.73333347E-2</v>
      </c>
      <c r="C44" s="8">
        <f>'Motion Profile'!G44</f>
        <v>4.2031997097599998</v>
      </c>
      <c r="D44" s="2">
        <v>561.73377266399996</v>
      </c>
      <c r="E44" s="2">
        <v>-181.959953856</v>
      </c>
      <c r="G44" s="2">
        <f t="shared" si="0"/>
        <v>280.86688633199998</v>
      </c>
    </row>
    <row r="45" spans="2:7" x14ac:dyDescent="0.3">
      <c r="B45" s="1">
        <v>2.8000001399999998E-2</v>
      </c>
      <c r="C45" s="8">
        <f>'Motion Profile'!G45</f>
        <v>5.0607997814400001</v>
      </c>
      <c r="D45" s="2">
        <v>639.69208290500001</v>
      </c>
      <c r="E45" s="2">
        <v>-140.20176094000001</v>
      </c>
      <c r="G45" s="2">
        <f t="shared" si="0"/>
        <v>319.8460414525</v>
      </c>
    </row>
    <row r="46" spans="2:7" x14ac:dyDescent="0.3">
      <c r="B46" s="1">
        <v>2.8666668100000001E-2</v>
      </c>
      <c r="C46" s="8">
        <f>'Motion Profile'!G46</f>
        <v>5.8927998710399994</v>
      </c>
      <c r="D46" s="2">
        <v>568.33122282299996</v>
      </c>
      <c r="E46" s="2">
        <v>-89.882328455600003</v>
      </c>
      <c r="G46" s="2">
        <f t="shared" si="0"/>
        <v>284.16561141149998</v>
      </c>
    </row>
    <row r="47" spans="2:7" x14ac:dyDescent="0.3">
      <c r="B47" s="1">
        <v>2.9333334799999999E-2</v>
      </c>
      <c r="C47" s="8">
        <f>'Motion Profile'!G47</f>
        <v>6.6960000144</v>
      </c>
      <c r="D47" s="2">
        <v>339.38042490700002</v>
      </c>
      <c r="E47" s="2">
        <v>-47.790131301300001</v>
      </c>
      <c r="G47" s="2">
        <f t="shared" si="0"/>
        <v>169.69021245350001</v>
      </c>
    </row>
    <row r="48" spans="2:7" x14ac:dyDescent="0.3">
      <c r="B48" s="1">
        <v>3.0000001500000002E-2</v>
      </c>
      <c r="C48" s="8">
        <f>'Motion Profile'!G48</f>
        <v>7.3999995599999995</v>
      </c>
      <c r="D48" s="2">
        <v>58.127506126199997</v>
      </c>
      <c r="E48" s="2">
        <v>-21.060942710399999</v>
      </c>
      <c r="G48" s="2">
        <f t="shared" si="0"/>
        <v>29.063753063099998</v>
      </c>
    </row>
    <row r="49" spans="2:7" x14ac:dyDescent="0.3">
      <c r="B49" s="1">
        <v>3.06666682E-2</v>
      </c>
      <c r="C49" s="8">
        <f>'Motion Profile'!G49</f>
        <v>7.9759979663799996</v>
      </c>
      <c r="D49" s="2">
        <v>-190.880971585</v>
      </c>
      <c r="E49" s="2">
        <v>5.3185563475100004</v>
      </c>
      <c r="G49" s="2">
        <f t="shared" si="0"/>
        <v>-95.440485792499999</v>
      </c>
    </row>
    <row r="50" spans="2:7" x14ac:dyDescent="0.3">
      <c r="B50" s="1">
        <v>3.1333334900000002E-2</v>
      </c>
      <c r="C50" s="8">
        <f>'Motion Profile'!G50</f>
        <v>8.4239952335569992</v>
      </c>
      <c r="D50" s="2">
        <v>-356.53749789099999</v>
      </c>
      <c r="E50" s="2">
        <v>17.685091043300002</v>
      </c>
      <c r="G50" s="2">
        <f t="shared" si="0"/>
        <v>-178.26874894549999</v>
      </c>
    </row>
    <row r="51" spans="2:7" x14ac:dyDescent="0.3">
      <c r="B51" s="1">
        <v>3.2000001600000001E-2</v>
      </c>
      <c r="C51" s="8">
        <f>'Motion Profile'!G51</f>
        <v>8.7439913615229994</v>
      </c>
      <c r="D51" s="2">
        <v>-451.66057693200003</v>
      </c>
      <c r="E51" s="2">
        <v>20.7969001019</v>
      </c>
      <c r="G51" s="2">
        <f t="shared" si="0"/>
        <v>-225.83028846600001</v>
      </c>
    </row>
    <row r="52" spans="2:7" x14ac:dyDescent="0.3">
      <c r="B52" s="1">
        <v>3.26666683E-2</v>
      </c>
      <c r="C52" s="8">
        <f>'Motion Profile'!G52</f>
        <v>8.9359863502780996</v>
      </c>
      <c r="D52" s="2">
        <v>-498.62832897300001</v>
      </c>
      <c r="E52" s="2">
        <v>16.148330803699999</v>
      </c>
      <c r="G52" s="2">
        <f t="shared" si="0"/>
        <v>-249.3141644865</v>
      </c>
    </row>
    <row r="53" spans="2:7" x14ac:dyDescent="0.3">
      <c r="B53" s="1">
        <v>3.3333334999999999E-2</v>
      </c>
      <c r="C53" s="8">
        <f>'Motion Profile'!G53</f>
        <v>8.99998019975307</v>
      </c>
      <c r="D53" s="2">
        <v>-368.720235651</v>
      </c>
      <c r="E53" s="2">
        <v>47.952056600299997</v>
      </c>
      <c r="G53" s="2">
        <f t="shared" si="0"/>
        <v>-184.3601178255</v>
      </c>
    </row>
    <row r="54" spans="2:7" x14ac:dyDescent="0.3">
      <c r="B54" s="1">
        <v>3.4000001699999997E-2</v>
      </c>
      <c r="C54" s="8">
        <f>'Motion Profile'!G54</f>
        <v>8.9103707899613998</v>
      </c>
      <c r="D54" s="2">
        <v>-492.78855291899998</v>
      </c>
      <c r="E54" s="2">
        <v>-50.262831411299999</v>
      </c>
      <c r="G54" s="2">
        <f t="shared" si="0"/>
        <v>-246.39427645949999</v>
      </c>
    </row>
    <row r="55" spans="2:7" x14ac:dyDescent="0.3">
      <c r="B55" s="1">
        <v>3.4666668400000003E-2</v>
      </c>
      <c r="C55" s="8">
        <f>'Motion Profile'!G55</f>
        <v>8.6415613765860009</v>
      </c>
      <c r="D55" s="2">
        <v>-423.48205768600002</v>
      </c>
      <c r="E55" s="2">
        <v>-21.2871522248</v>
      </c>
      <c r="G55" s="2">
        <f t="shared" si="0"/>
        <v>-211.74102884300001</v>
      </c>
    </row>
    <row r="56" spans="2:7" x14ac:dyDescent="0.3">
      <c r="B56" s="1">
        <v>3.5333335100000002E-2</v>
      </c>
      <c r="C56" s="8">
        <f>'Motion Profile'!G56</f>
        <v>8.1935519596259994</v>
      </c>
      <c r="D56" s="2">
        <v>-275.599923445</v>
      </c>
      <c r="E56" s="2">
        <v>-23.971892941299998</v>
      </c>
      <c r="G56" s="2">
        <f t="shared" si="0"/>
        <v>-137.7999617225</v>
      </c>
    </row>
    <row r="57" spans="2:7" x14ac:dyDescent="0.3">
      <c r="B57" s="1">
        <v>3.60000018E-2</v>
      </c>
      <c r="C57" s="8">
        <f>'Motion Profile'!G57</f>
        <v>7.5663425390799999</v>
      </c>
      <c r="D57" s="2">
        <v>-15.3522034421</v>
      </c>
      <c r="E57" s="2">
        <v>-12.769480811499999</v>
      </c>
      <c r="G57" s="2">
        <f t="shared" si="0"/>
        <v>-7.6761017210500002</v>
      </c>
    </row>
    <row r="58" spans="2:7" x14ac:dyDescent="0.3">
      <c r="B58" s="1">
        <v>3.6666668499999999E-2</v>
      </c>
      <c r="C58" s="8">
        <f>'Motion Profile'!G58</f>
        <v>6.7599331149499999</v>
      </c>
      <c r="D58" s="2">
        <v>316.53261119899997</v>
      </c>
      <c r="E58" s="2">
        <v>18.649106562299998</v>
      </c>
      <c r="G58" s="2">
        <f t="shared" si="0"/>
        <v>158.26630559949999</v>
      </c>
    </row>
    <row r="59" spans="2:7" x14ac:dyDescent="0.3">
      <c r="B59" s="1">
        <v>3.7333335199999998E-2</v>
      </c>
      <c r="C59" s="8">
        <f>'Motion Profile'!G59</f>
        <v>5.7743236872399999</v>
      </c>
      <c r="D59" s="2">
        <v>589.01032628600001</v>
      </c>
      <c r="E59" s="2">
        <v>60.6222585915</v>
      </c>
      <c r="G59" s="2">
        <f t="shared" si="0"/>
        <v>294.505163143</v>
      </c>
    </row>
    <row r="60" spans="2:7" x14ac:dyDescent="0.3">
      <c r="B60" s="1">
        <v>3.8000001899999997E-2</v>
      </c>
      <c r="C60" s="8">
        <f>'Motion Profile'!G60</f>
        <v>4.6671222934400003</v>
      </c>
      <c r="D60" s="2">
        <v>620.42719434900005</v>
      </c>
      <c r="E60" s="2">
        <v>138.813584975</v>
      </c>
      <c r="G60" s="2">
        <f t="shared" si="0"/>
        <v>310.21359717450002</v>
      </c>
    </row>
    <row r="61" spans="2:7" x14ac:dyDescent="0.3">
      <c r="B61" s="1">
        <v>3.8666668600000002E-2</v>
      </c>
      <c r="C61" s="8">
        <f>'Motion Profile'!G61</f>
        <v>3.5791235811200002</v>
      </c>
      <c r="D61" s="2">
        <v>444.487526301</v>
      </c>
      <c r="E61" s="2">
        <v>206.959818751</v>
      </c>
      <c r="G61" s="2">
        <f t="shared" si="0"/>
        <v>222.2437631505</v>
      </c>
    </row>
    <row r="62" spans="2:7" x14ac:dyDescent="0.3">
      <c r="B62" s="1">
        <v>3.9333335300000001E-2</v>
      </c>
      <c r="C62" s="8">
        <f>'Motion Profile'!G62</f>
        <v>2.5167248723900002</v>
      </c>
      <c r="D62" s="2">
        <v>254.14184641599999</v>
      </c>
      <c r="E62" s="2">
        <v>236.085528826</v>
      </c>
      <c r="G62" s="2">
        <f t="shared" si="0"/>
        <v>127.070923208</v>
      </c>
    </row>
    <row r="63" spans="2:7" x14ac:dyDescent="0.3">
      <c r="B63" s="1">
        <v>4.0000002E-2</v>
      </c>
      <c r="C63" s="8">
        <f>'Motion Profile'!G63</f>
        <v>1.4799261672400004</v>
      </c>
      <c r="D63" s="2">
        <v>122.968154023</v>
      </c>
      <c r="E63" s="2">
        <v>241.56912870799999</v>
      </c>
      <c r="G63" s="2">
        <f t="shared" si="0"/>
        <v>61.484077011499998</v>
      </c>
    </row>
    <row r="64" spans="2:7" x14ac:dyDescent="0.3">
      <c r="B64" s="1">
        <v>4.0666668699999999E-2</v>
      </c>
      <c r="C64" s="8">
        <f>'Motion Profile'!G64</f>
        <v>0.46872746566999979</v>
      </c>
      <c r="D64" s="2">
        <v>31.103719798</v>
      </c>
      <c r="E64" s="2">
        <v>240.95621093</v>
      </c>
      <c r="G64" s="2">
        <f t="shared" si="0"/>
        <v>15.551859899</v>
      </c>
    </row>
    <row r="65" spans="2:7" x14ac:dyDescent="0.3">
      <c r="B65" s="1">
        <v>4.1333335399999997E-2</v>
      </c>
      <c r="C65" s="8">
        <f>'Motion Profile'!G65</f>
        <v>-0.51687123231999976</v>
      </c>
      <c r="D65" s="2">
        <v>-46.125522903499999</v>
      </c>
      <c r="E65" s="2">
        <v>236.033568817</v>
      </c>
      <c r="G65" s="2">
        <f t="shared" si="0"/>
        <v>-23.062761451749999</v>
      </c>
    </row>
    <row r="66" spans="2:7" x14ac:dyDescent="0.3">
      <c r="B66" s="1">
        <v>4.2000002100000003E-2</v>
      </c>
      <c r="C66" s="8">
        <f>'Motion Profile'!G66</f>
        <v>-1.4768699266999992</v>
      </c>
      <c r="D66" s="2">
        <v>-119.424637898</v>
      </c>
      <c r="E66" s="2">
        <v>227.919367583</v>
      </c>
      <c r="G66" s="2">
        <f t="shared" si="0"/>
        <v>-59.712318949</v>
      </c>
    </row>
    <row r="67" spans="2:7" x14ac:dyDescent="0.3">
      <c r="B67" s="1">
        <v>4.2666668800000002E-2</v>
      </c>
      <c r="C67" s="8">
        <f>'Motion Profile'!G67</f>
        <v>-2.4112686174999993</v>
      </c>
      <c r="D67" s="2">
        <v>-220.60440467699999</v>
      </c>
      <c r="E67" s="2">
        <v>217.343155583</v>
      </c>
      <c r="G67" s="2">
        <f t="shared" si="0"/>
        <v>-110.3022023385</v>
      </c>
    </row>
    <row r="68" spans="2:7" x14ac:dyDescent="0.3">
      <c r="B68" s="1">
        <v>4.33333355E-2</v>
      </c>
      <c r="C68" s="8">
        <f>'Motion Profile'!G68</f>
        <v>-3.3200673048000002</v>
      </c>
      <c r="D68" s="2">
        <v>-363.95518281699998</v>
      </c>
      <c r="E68" s="2">
        <v>203.53619720099999</v>
      </c>
      <c r="G68" s="2">
        <f t="shared" ref="G68:G103" si="1">D68/2</f>
        <v>-181.97759140849999</v>
      </c>
    </row>
    <row r="69" spans="2:7" x14ac:dyDescent="0.3">
      <c r="B69" s="1">
        <v>4.4000002199999999E-2</v>
      </c>
      <c r="C69" s="8">
        <f>'Motion Profile'!G69</f>
        <v>-4.2032659884000001</v>
      </c>
      <c r="D69" s="2">
        <v>-528.47084276999999</v>
      </c>
      <c r="E69" s="2">
        <v>181.64731697299999</v>
      </c>
      <c r="G69" s="2">
        <f t="shared" si="1"/>
        <v>-264.235421385</v>
      </c>
    </row>
    <row r="70" spans="2:7" x14ac:dyDescent="0.3">
      <c r="B70" s="1">
        <v>4.4666668899999998E-2</v>
      </c>
      <c r="C70" s="8">
        <f>'Motion Profile'!G70</f>
        <v>-5.0608646685000007</v>
      </c>
      <c r="D70" s="2">
        <v>-605.01334400600001</v>
      </c>
      <c r="E70" s="2">
        <v>140.01005894900001</v>
      </c>
      <c r="G70" s="2">
        <f t="shared" si="1"/>
        <v>-302.50667200300001</v>
      </c>
    </row>
    <row r="71" spans="2:7" x14ac:dyDescent="0.3">
      <c r="B71" s="1">
        <v>4.5333335600000003E-2</v>
      </c>
      <c r="C71" s="8">
        <f>'Motion Profile'!G71</f>
        <v>-5.8928633450000003</v>
      </c>
      <c r="D71" s="2">
        <v>-530.19805604199996</v>
      </c>
      <c r="E71" s="2">
        <v>92.412537761899998</v>
      </c>
      <c r="G71" s="2">
        <f t="shared" si="1"/>
        <v>-265.09902802099998</v>
      </c>
    </row>
    <row r="72" spans="2:7" x14ac:dyDescent="0.3">
      <c r="B72" s="1">
        <v>4.6000002300000002E-2</v>
      </c>
      <c r="C72" s="8">
        <f>'Motion Profile'!G72</f>
        <v>-6.6960606525999999</v>
      </c>
      <c r="D72" s="2">
        <v>-310.22636661500002</v>
      </c>
      <c r="E72" s="2">
        <v>49.558596091799998</v>
      </c>
      <c r="G72" s="2">
        <f t="shared" si="1"/>
        <v>-155.11318330750001</v>
      </c>
    </row>
    <row r="73" spans="2:7" x14ac:dyDescent="0.3">
      <c r="B73" s="1">
        <v>4.6666669000000001E-2</v>
      </c>
      <c r="C73" s="8">
        <f>'Motion Profile'!G73</f>
        <v>-7.4000539198000013</v>
      </c>
      <c r="D73" s="2">
        <v>-28.644057086299998</v>
      </c>
      <c r="E73" s="2">
        <v>14.926699960200001</v>
      </c>
      <c r="G73" s="2">
        <f t="shared" si="1"/>
        <v>-14.322028543149999</v>
      </c>
    </row>
    <row r="74" spans="2:7" x14ac:dyDescent="0.3">
      <c r="B74" s="1">
        <v>4.73333357E-2</v>
      </c>
      <c r="C74" s="8">
        <f>'Motion Profile'!G74</f>
        <v>-7.9760472765999992</v>
      </c>
      <c r="D74" s="2">
        <v>214.69132345</v>
      </c>
      <c r="E74" s="2">
        <v>-4.4610638532299998</v>
      </c>
      <c r="G74" s="2">
        <f t="shared" si="1"/>
        <v>107.345661725</v>
      </c>
    </row>
    <row r="75" spans="2:7" x14ac:dyDescent="0.3">
      <c r="B75" s="1">
        <v>4.8000002399999998E-2</v>
      </c>
      <c r="C75" s="8">
        <f>'Motion Profile'!G75</f>
        <v>-8.424040723000001</v>
      </c>
      <c r="D75" s="2">
        <v>384.63641714300002</v>
      </c>
      <c r="E75" s="2">
        <v>-14.9667343117</v>
      </c>
      <c r="G75" s="2">
        <f t="shared" si="1"/>
        <v>192.31820857150001</v>
      </c>
    </row>
    <row r="76" spans="2:7" x14ac:dyDescent="0.3">
      <c r="B76" s="1">
        <v>4.8666669099999997E-2</v>
      </c>
      <c r="C76" s="8">
        <f>'Motion Profile'!G76</f>
        <v>-8.7440342589999993</v>
      </c>
      <c r="D76" s="2">
        <v>483.36267544200001</v>
      </c>
      <c r="E76" s="2">
        <v>-17.451381618500001</v>
      </c>
      <c r="G76" s="2">
        <f t="shared" si="1"/>
        <v>241.68133772100001</v>
      </c>
    </row>
    <row r="77" spans="2:7" x14ac:dyDescent="0.3">
      <c r="B77" s="1">
        <v>4.9333335800000003E-2</v>
      </c>
      <c r="C77" s="8">
        <f>'Motion Profile'!G77</f>
        <v>-8.9360278846000014</v>
      </c>
      <c r="D77" s="2">
        <v>532.043127863</v>
      </c>
      <c r="E77" s="2">
        <v>-13.3286626913</v>
      </c>
      <c r="G77" s="2">
        <f t="shared" si="1"/>
        <v>266.0215639315</v>
      </c>
    </row>
    <row r="78" spans="2:7" x14ac:dyDescent="0.3">
      <c r="B78" s="1">
        <v>5.0000002500000001E-2</v>
      </c>
      <c r="C78" s="8">
        <f>'Motion Profile'!G78</f>
        <v>-9.0000215998000002</v>
      </c>
      <c r="D78" s="2">
        <v>543.28439669800002</v>
      </c>
      <c r="E78" s="2">
        <v>-5.6092058574500001</v>
      </c>
      <c r="G78" s="2">
        <f t="shared" si="1"/>
        <v>271.64219834900001</v>
      </c>
    </row>
    <row r="79" spans="2:7" x14ac:dyDescent="0.3">
      <c r="B79" s="1">
        <v>5.06666692E-2</v>
      </c>
      <c r="C79" s="8">
        <f>'Motion Profile'!G79</f>
        <v>-8.9104127115000011</v>
      </c>
      <c r="D79" s="2">
        <v>526.00258348399996</v>
      </c>
      <c r="E79" s="2">
        <v>7.5144865007800004</v>
      </c>
      <c r="G79" s="2">
        <f t="shared" si="1"/>
        <v>263.00129174199998</v>
      </c>
    </row>
    <row r="80" spans="2:7" x14ac:dyDescent="0.3">
      <c r="B80" s="1">
        <v>5.1333335899999999E-2</v>
      </c>
      <c r="C80" s="8">
        <f>'Motion Profile'!G80</f>
        <v>-8.6416035184999984</v>
      </c>
      <c r="D80" s="2">
        <v>454.16444867799999</v>
      </c>
      <c r="E80" s="2">
        <v>17.616191494500001</v>
      </c>
      <c r="G80" s="2">
        <f t="shared" si="1"/>
        <v>227.08222433899999</v>
      </c>
    </row>
    <row r="81" spans="2:7" x14ac:dyDescent="0.3">
      <c r="B81" s="1">
        <v>5.2000002599999998E-2</v>
      </c>
      <c r="C81" s="8">
        <f>'Motion Profile'!G81</f>
        <v>-8.1935940209000009</v>
      </c>
      <c r="D81" s="2">
        <v>300.65424849099998</v>
      </c>
      <c r="E81" s="2">
        <v>20.300896103300001</v>
      </c>
      <c r="G81" s="2">
        <f t="shared" si="1"/>
        <v>150.32712424549999</v>
      </c>
    </row>
    <row r="82" spans="2:7" x14ac:dyDescent="0.3">
      <c r="B82" s="1">
        <v>5.2666669300000003E-2</v>
      </c>
      <c r="C82" s="8">
        <f>'Motion Profile'!G82</f>
        <v>-7.5663842185999997</v>
      </c>
      <c r="D82" s="2">
        <v>42.333570398200003</v>
      </c>
      <c r="E82" s="2">
        <v>10.5894945559</v>
      </c>
      <c r="G82" s="2">
        <f t="shared" si="1"/>
        <v>21.166785199100001</v>
      </c>
    </row>
    <row r="83" spans="2:7" x14ac:dyDescent="0.3">
      <c r="B83" s="1">
        <v>5.3333336000000002E-2</v>
      </c>
      <c r="C83" s="8">
        <f>'Motion Profile'!G83</f>
        <v>-6.7599741117000001</v>
      </c>
      <c r="D83" s="2">
        <v>-287.27537492300002</v>
      </c>
      <c r="E83" s="2">
        <v>-12.783663861599999</v>
      </c>
      <c r="G83" s="2">
        <f t="shared" si="1"/>
        <v>-143.63768746150001</v>
      </c>
    </row>
    <row r="84" spans="2:7" x14ac:dyDescent="0.3">
      <c r="B84" s="1">
        <v>5.4000002700000001E-2</v>
      </c>
      <c r="C84" s="8">
        <f>'Motion Profile'!G84</f>
        <v>-5.7743637002000003</v>
      </c>
      <c r="D84" s="2">
        <v>-550.48712503100001</v>
      </c>
      <c r="E84" s="2">
        <v>-62.4437354246</v>
      </c>
      <c r="G84" s="2">
        <f t="shared" si="1"/>
        <v>-275.2435625155</v>
      </c>
    </row>
    <row r="85" spans="2:7" x14ac:dyDescent="0.3">
      <c r="B85" s="1">
        <v>5.4666669399999999E-2</v>
      </c>
      <c r="C85" s="8">
        <f>'Motion Profile'!G85</f>
        <v>-4.667162137</v>
      </c>
      <c r="D85" s="2">
        <v>-586.04953116700005</v>
      </c>
      <c r="E85" s="2">
        <v>-140.782694034</v>
      </c>
      <c r="G85" s="2">
        <f t="shared" si="1"/>
        <v>-293.02476558350003</v>
      </c>
    </row>
    <row r="86" spans="2:7" x14ac:dyDescent="0.3">
      <c r="B86" s="1">
        <v>5.5333336099999998E-2</v>
      </c>
      <c r="C86" s="8">
        <f>'Motion Profile'!G86</f>
        <v>-3.5791635706000005</v>
      </c>
      <c r="D86" s="2">
        <v>-414.75595226600001</v>
      </c>
      <c r="E86" s="2">
        <v>-206.57775895899999</v>
      </c>
      <c r="G86" s="2">
        <f t="shared" si="1"/>
        <v>-207.377976133</v>
      </c>
    </row>
    <row r="87" spans="2:7" x14ac:dyDescent="0.3">
      <c r="B87" s="1">
        <v>5.6000002799999997E-2</v>
      </c>
      <c r="C87" s="8">
        <f>'Motion Profile'!G87</f>
        <v>-2.5167649863000001</v>
      </c>
      <c r="D87" s="2">
        <v>-233.87597636000001</v>
      </c>
      <c r="E87" s="2">
        <v>-235.676455318</v>
      </c>
      <c r="G87" s="2">
        <f t="shared" si="1"/>
        <v>-116.93798818</v>
      </c>
    </row>
    <row r="88" spans="2:7" x14ac:dyDescent="0.3">
      <c r="B88" s="1">
        <v>5.6666669500000003E-2</v>
      </c>
      <c r="C88" s="8">
        <f>'Motion Profile'!G88</f>
        <v>-1.4799663840000008</v>
      </c>
      <c r="D88" s="2">
        <v>-119.721555388</v>
      </c>
      <c r="E88" s="2">
        <v>-240.640511645</v>
      </c>
      <c r="G88" s="2">
        <f t="shared" si="1"/>
        <v>-59.860777693999999</v>
      </c>
    </row>
    <row r="89" spans="2:7" x14ac:dyDescent="0.3">
      <c r="B89" s="1">
        <v>5.7333336200000001E-2</v>
      </c>
      <c r="C89" s="8">
        <f>'Motion Profile'!G89</f>
        <v>-0.46876776388000074</v>
      </c>
      <c r="D89" s="2">
        <v>-42.807366459000001</v>
      </c>
      <c r="E89" s="2">
        <v>-240.114204583</v>
      </c>
      <c r="G89" s="2">
        <f t="shared" si="1"/>
        <v>-21.4036832295</v>
      </c>
    </row>
    <row r="90" spans="2:7" x14ac:dyDescent="0.3">
      <c r="B90" s="1">
        <v>5.80000029E-2</v>
      </c>
      <c r="C90" s="8">
        <f>'Motion Profile'!G90</f>
        <v>0.51683087420000007</v>
      </c>
      <c r="D90" s="2">
        <v>35.242753254599997</v>
      </c>
      <c r="E90" s="2">
        <v>-236.08903309499999</v>
      </c>
      <c r="G90" s="2">
        <f t="shared" si="1"/>
        <v>17.621376627299998</v>
      </c>
    </row>
    <row r="91" spans="2:7" x14ac:dyDescent="0.3">
      <c r="B91" s="1">
        <v>5.8666669599999999E-2</v>
      </c>
      <c r="C91" s="8">
        <f>'Motion Profile'!G91</f>
        <v>1.4768295301999999</v>
      </c>
      <c r="D91" s="2">
        <v>122.66204407799999</v>
      </c>
      <c r="E91" s="2">
        <v>-228.70164359899999</v>
      </c>
      <c r="G91" s="2">
        <f t="shared" si="1"/>
        <v>61.331022038999997</v>
      </c>
    </row>
    <row r="92" spans="2:7" x14ac:dyDescent="0.3">
      <c r="B92" s="1">
        <v>5.9333336299999997E-2</v>
      </c>
      <c r="C92" s="8">
        <f>'Motion Profile'!G92</f>
        <v>2.4112282041200004</v>
      </c>
      <c r="D92" s="2">
        <v>237.90808876299999</v>
      </c>
      <c r="E92" s="2">
        <v>-218.168057874</v>
      </c>
      <c r="G92" s="2">
        <f t="shared" si="1"/>
        <v>118.9540443815</v>
      </c>
    </row>
    <row r="93" spans="2:7" x14ac:dyDescent="0.3">
      <c r="B93" s="1">
        <v>6.0000003000000003E-2</v>
      </c>
      <c r="C93" s="8">
        <f>'Motion Profile'!G93</f>
        <v>3.3200268959599999</v>
      </c>
      <c r="D93" s="2">
        <v>392.03376885099999</v>
      </c>
      <c r="E93" s="2">
        <v>-203.98913430600001</v>
      </c>
      <c r="G93" s="2">
        <f t="shared" si="1"/>
        <v>196.0168844255</v>
      </c>
    </row>
    <row r="94" spans="2:7" x14ac:dyDescent="0.3">
      <c r="B94" s="1">
        <v>6.0666669700000002E-2</v>
      </c>
      <c r="C94" s="8">
        <f>'Motion Profile'!G94</f>
        <v>4.2032256057300001</v>
      </c>
      <c r="D94" s="2">
        <v>561.74375423900005</v>
      </c>
      <c r="E94" s="2">
        <v>-181.96337770599999</v>
      </c>
      <c r="G94" s="2">
        <f t="shared" si="1"/>
        <v>280.87187711950003</v>
      </c>
    </row>
    <row r="95" spans="2:7" x14ac:dyDescent="0.3">
      <c r="B95" s="1">
        <v>6.1333336400000001E-2</v>
      </c>
      <c r="C95" s="8">
        <f>'Motion Profile'!G95</f>
        <v>5.0608243334100003</v>
      </c>
      <c r="D95" s="2">
        <v>639.69228251799996</v>
      </c>
      <c r="E95" s="2">
        <v>-140.19579734999999</v>
      </c>
      <c r="G95" s="2">
        <f t="shared" si="1"/>
        <v>319.84614125899998</v>
      </c>
    </row>
    <row r="96" spans="2:7" x14ac:dyDescent="0.3">
      <c r="B96" s="1">
        <v>6.2000003099999999E-2</v>
      </c>
      <c r="C96" s="8">
        <f>'Motion Profile'!G96</f>
        <v>5.8928230790100002</v>
      </c>
      <c r="D96" s="2">
        <v>568.315222393</v>
      </c>
      <c r="E96" s="2">
        <v>-89.8680224796</v>
      </c>
      <c r="G96" s="2">
        <f t="shared" si="1"/>
        <v>284.1576111965</v>
      </c>
    </row>
    <row r="97" spans="2:7" x14ac:dyDescent="0.3">
      <c r="B97" s="1">
        <v>6.2666669800000005E-2</v>
      </c>
      <c r="C97" s="8">
        <f>'Motion Profile'!G97</f>
        <v>6.6960205342299997</v>
      </c>
      <c r="D97" s="2">
        <v>339.37023597299998</v>
      </c>
      <c r="E97" s="2">
        <v>-47.811254333900003</v>
      </c>
      <c r="G97" s="2">
        <f t="shared" si="1"/>
        <v>169.68511798649999</v>
      </c>
    </row>
    <row r="98" spans="2:7" x14ac:dyDescent="0.3">
      <c r="B98" s="1">
        <v>6.3333336500000004E-2</v>
      </c>
      <c r="C98" s="8">
        <f>'Motion Profile'!G98</f>
        <v>7.40001335976</v>
      </c>
      <c r="D98" s="2">
        <v>58.1216509124</v>
      </c>
      <c r="E98" s="2">
        <v>-21.051652883199999</v>
      </c>
      <c r="G98" s="2">
        <f t="shared" si="1"/>
        <v>29.0608254562</v>
      </c>
    </row>
    <row r="99" spans="2:7" x14ac:dyDescent="0.3">
      <c r="B99" s="1">
        <v>6.4000003200000002E-2</v>
      </c>
      <c r="C99" s="8">
        <f>'Motion Profile'!G99</f>
        <v>7.9760050460900001</v>
      </c>
      <c r="D99" s="2">
        <v>-190.883897093</v>
      </c>
      <c r="E99" s="2">
        <v>5.3195126297500002</v>
      </c>
      <c r="G99" s="2">
        <f t="shared" si="1"/>
        <v>-95.441948546500001</v>
      </c>
    </row>
    <row r="100" spans="2:7" x14ac:dyDescent="0.3">
      <c r="B100" s="1">
        <v>6.4666669900000001E-2</v>
      </c>
      <c r="C100" s="8">
        <f>'Motion Profile'!G100</f>
        <v>8.4239955932059996</v>
      </c>
      <c r="D100" s="2">
        <v>-356.537585342</v>
      </c>
      <c r="E100" s="2">
        <v>17.684838742499998</v>
      </c>
      <c r="G100" s="2">
        <f t="shared" si="1"/>
        <v>-178.268792671</v>
      </c>
    </row>
    <row r="101" spans="2:7" x14ac:dyDescent="0.3">
      <c r="B101" s="1">
        <v>6.53333366E-2</v>
      </c>
      <c r="C101" s="8">
        <f>'Motion Profile'!G101</f>
        <v>8.7439850011119997</v>
      </c>
      <c r="D101" s="2">
        <v>-451.65535589199999</v>
      </c>
      <c r="E101" s="2">
        <v>20.802761505900001</v>
      </c>
      <c r="G101" s="2">
        <f t="shared" si="1"/>
        <v>-225.82767794599999</v>
      </c>
    </row>
    <row r="102" spans="2:7" x14ac:dyDescent="0.3">
      <c r="B102" s="1">
        <v>6.6000003299999999E-2</v>
      </c>
      <c r="C102" s="8">
        <f>'Motion Profile'!G102</f>
        <v>8.9359732698084002</v>
      </c>
      <c r="D102" s="2">
        <v>-498.62860240600003</v>
      </c>
      <c r="E102" s="2">
        <v>16.139504212199999</v>
      </c>
      <c r="G102" s="2">
        <f t="shared" si="1"/>
        <v>-249.31430120300001</v>
      </c>
    </row>
    <row r="103" spans="2:7" x14ac:dyDescent="0.3">
      <c r="B103" s="1">
        <v>6.6666669999999997E-2</v>
      </c>
      <c r="C103" s="8">
        <f>'Motion Profile'!G103</f>
        <v>8.9999603990122345</v>
      </c>
      <c r="D103" s="2">
        <v>-400.32875702400003</v>
      </c>
      <c r="E103" s="2">
        <v>35.286777757000003</v>
      </c>
      <c r="G103" s="2">
        <f t="shared" si="1"/>
        <v>-200.16437851200001</v>
      </c>
    </row>
  </sheetData>
  <mergeCells count="1">
    <mergeCell ref="D1:E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2186F-2A45-46D3-99A8-D396A297030F}">
  <dimension ref="A1:H103"/>
  <sheetViews>
    <sheetView zoomScaleNormal="100" workbookViewId="0">
      <selection activeCell="H2" sqref="H2"/>
    </sheetView>
  </sheetViews>
  <sheetFormatPr defaultColWidth="8.6640625" defaultRowHeight="14.4" x14ac:dyDescent="0.3"/>
  <cols>
    <col min="3" max="3" width="12" bestFit="1" customWidth="1"/>
    <col min="4" max="4" width="12.6640625" bestFit="1" customWidth="1"/>
    <col min="5" max="5" width="11" bestFit="1" customWidth="1"/>
    <col min="6" max="6" width="12.21875" bestFit="1" customWidth="1"/>
    <col min="7" max="7" width="3.21875" customWidth="1"/>
    <col min="8" max="8" width="18.21875" bestFit="1" customWidth="1"/>
  </cols>
  <sheetData>
    <row r="1" spans="1:8" x14ac:dyDescent="0.3">
      <c r="A1" s="5"/>
      <c r="B1" s="5"/>
      <c r="C1" s="5"/>
      <c r="D1" s="6"/>
      <c r="E1" s="6"/>
      <c r="F1" s="5"/>
    </row>
    <row r="2" spans="1:8" x14ac:dyDescent="0.3">
      <c r="B2" s="1" t="s">
        <v>0</v>
      </c>
      <c r="C2" s="1" t="s">
        <v>7</v>
      </c>
      <c r="D2" s="1" t="s">
        <v>2</v>
      </c>
      <c r="E2" s="1" t="s">
        <v>4</v>
      </c>
      <c r="F2" s="4" t="s">
        <v>3</v>
      </c>
      <c r="H2" s="1" t="s">
        <v>11</v>
      </c>
    </row>
    <row r="3" spans="1:8" x14ac:dyDescent="0.3">
      <c r="B3" s="1">
        <v>0</v>
      </c>
      <c r="C3" s="8">
        <f>'Motion Profile'!G3</f>
        <v>9</v>
      </c>
      <c r="D3" s="2">
        <v>-512.66490328899999</v>
      </c>
      <c r="E3" s="2">
        <v>2.5157884553699999E-6</v>
      </c>
      <c r="F3" s="7">
        <v>2.1097305173999999E-13</v>
      </c>
      <c r="H3" s="2">
        <f>D3/2</f>
        <v>-256.3324516445</v>
      </c>
    </row>
    <row r="4" spans="1:8" x14ac:dyDescent="0.3">
      <c r="B4" s="1">
        <v>6.6666670000000003E-4</v>
      </c>
      <c r="C4" s="8">
        <f>'Motion Profile'!G4</f>
        <v>8.9103999982079998</v>
      </c>
      <c r="D4" s="2">
        <v>-491.22556834800002</v>
      </c>
      <c r="E4" s="2">
        <v>-5.5987052953800003</v>
      </c>
      <c r="F4" s="7">
        <v>1.0448495633099999</v>
      </c>
      <c r="H4" s="2">
        <f t="shared" ref="H4:H53" si="0">D4/2</f>
        <v>-245.61278417400001</v>
      </c>
    </row>
    <row r="5" spans="1:8" x14ac:dyDescent="0.3">
      <c r="B5" s="1">
        <v>1.3333334000000001E-3</v>
      </c>
      <c r="C5" s="8">
        <f>'Motion Profile'!G5</f>
        <v>8.6415999928319991</v>
      </c>
      <c r="D5" s="2">
        <v>-419.863720237</v>
      </c>
      <c r="E5" s="2">
        <v>-16.283940078099999</v>
      </c>
      <c r="F5" s="7">
        <v>12.9227062332</v>
      </c>
      <c r="H5" s="2">
        <f t="shared" si="0"/>
        <v>-209.9318601185</v>
      </c>
    </row>
    <row r="6" spans="1:8" x14ac:dyDescent="0.3">
      <c r="B6" s="1">
        <v>2.0000001000000001E-3</v>
      </c>
      <c r="C6" s="8">
        <f>'Motion Profile'!G6</f>
        <v>8.1935999838719997</v>
      </c>
      <c r="D6" s="2">
        <v>-272.84123706000003</v>
      </c>
      <c r="E6" s="2">
        <v>-21.6023088934</v>
      </c>
      <c r="F6" s="7">
        <v>36.119905251900001</v>
      </c>
      <c r="H6" s="2">
        <f t="shared" si="0"/>
        <v>-136.42061853000001</v>
      </c>
    </row>
    <row r="7" spans="1:8" x14ac:dyDescent="0.3">
      <c r="B7" s="1">
        <v>2.6666668000000001E-3</v>
      </c>
      <c r="C7" s="8">
        <f>'Motion Profile'!G7</f>
        <v>7.5663999713300001</v>
      </c>
      <c r="D7" s="2">
        <v>-15.220382157</v>
      </c>
      <c r="E7" s="2">
        <v>-15.3951773191</v>
      </c>
      <c r="F7" s="7">
        <v>34.541420337600002</v>
      </c>
      <c r="H7" s="2">
        <f t="shared" si="0"/>
        <v>-7.6101910784999998</v>
      </c>
    </row>
    <row r="8" spans="1:8" x14ac:dyDescent="0.3">
      <c r="B8" s="1">
        <v>3.3333335000000001E-3</v>
      </c>
      <c r="C8" s="8">
        <f>'Motion Profile'!G8</f>
        <v>6.7599999551999996</v>
      </c>
      <c r="D8" s="2">
        <v>317.684685516</v>
      </c>
      <c r="E8" s="2">
        <v>8.6859442029699991</v>
      </c>
      <c r="F8" s="7">
        <v>5.95784867319</v>
      </c>
      <c r="H8" s="2">
        <f t="shared" si="0"/>
        <v>158.842342758</v>
      </c>
    </row>
    <row r="9" spans="1:8" x14ac:dyDescent="0.3">
      <c r="B9" s="1">
        <v>4.0000002000000002E-3</v>
      </c>
      <c r="C9" s="8">
        <f>'Motion Profile'!G9</f>
        <v>5.77439993549</v>
      </c>
      <c r="D9" s="2">
        <v>603.84752835799998</v>
      </c>
      <c r="E9" s="2">
        <v>43.161096205900002</v>
      </c>
      <c r="F9" s="7">
        <v>77.107357525799998</v>
      </c>
      <c r="H9" s="2">
        <f t="shared" si="0"/>
        <v>301.92376417899999</v>
      </c>
    </row>
    <row r="10" spans="1:8" x14ac:dyDescent="0.3">
      <c r="B10" s="1">
        <v>4.6666668999999997E-3</v>
      </c>
      <c r="C10" s="8">
        <f>'Motion Profile'!G10</f>
        <v>4.6671998854099996</v>
      </c>
      <c r="D10" s="2">
        <v>682.47736127500002</v>
      </c>
      <c r="E10" s="2">
        <v>102.763107318</v>
      </c>
      <c r="F10" s="7">
        <v>561.95016042700001</v>
      </c>
      <c r="H10" s="2">
        <f t="shared" si="0"/>
        <v>341.23868063750001</v>
      </c>
    </row>
    <row r="11" spans="1:8" x14ac:dyDescent="0.3">
      <c r="B11" s="1">
        <v>5.3333336000000002E-3</v>
      </c>
      <c r="C11" s="8">
        <f>'Motion Profile'!G11</f>
        <v>3.5791998290900002</v>
      </c>
      <c r="D11" s="2">
        <v>577.68284719400003</v>
      </c>
      <c r="E11" s="2">
        <v>165.17168371099999</v>
      </c>
      <c r="F11" s="7">
        <v>1827.18322616</v>
      </c>
      <c r="H11" s="2">
        <f t="shared" si="0"/>
        <v>288.84142359700002</v>
      </c>
    </row>
    <row r="12" spans="1:8" x14ac:dyDescent="0.3">
      <c r="B12" s="1">
        <v>6.0000002999999998E-3</v>
      </c>
      <c r="C12" s="8">
        <f>'Motion Profile'!G12</f>
        <v>2.5167997763500001</v>
      </c>
      <c r="D12" s="2">
        <v>434.97034406199998</v>
      </c>
      <c r="E12" s="2">
        <v>207.99513803599999</v>
      </c>
      <c r="F12" s="7">
        <v>3496.61898999</v>
      </c>
      <c r="H12" s="2">
        <f t="shared" si="0"/>
        <v>217.48517203099999</v>
      </c>
    </row>
    <row r="13" spans="1:8" x14ac:dyDescent="0.3">
      <c r="B13" s="1">
        <v>6.6666670000000003E-3</v>
      </c>
      <c r="C13" s="8">
        <f>'Motion Profile'!G13</f>
        <v>1.4799997272000001</v>
      </c>
      <c r="D13" s="2">
        <v>328.37624225799999</v>
      </c>
      <c r="E13" s="2">
        <v>227.266628986</v>
      </c>
      <c r="F13" s="7">
        <v>4739.4150654900004</v>
      </c>
      <c r="H13" s="2">
        <f t="shared" si="0"/>
        <v>164.188121129</v>
      </c>
    </row>
    <row r="14" spans="1:8" x14ac:dyDescent="0.3">
      <c r="B14" s="1">
        <v>7.3333336999999998E-3</v>
      </c>
      <c r="C14" s="8">
        <f>'Motion Profile'!G14</f>
        <v>0.4687996816299993</v>
      </c>
      <c r="D14" s="2">
        <v>244.61418398800001</v>
      </c>
      <c r="E14" s="2">
        <v>233.76920165600001</v>
      </c>
      <c r="F14" s="7">
        <v>5314.2032904999996</v>
      </c>
      <c r="H14" s="2">
        <f t="shared" si="0"/>
        <v>122.307091994</v>
      </c>
    </row>
    <row r="15" spans="1:8" x14ac:dyDescent="0.3">
      <c r="B15" s="1">
        <v>8.0000004000000003E-3</v>
      </c>
      <c r="C15" s="8">
        <f>'Motion Profile'!G15</f>
        <v>-0.51680036035000043</v>
      </c>
      <c r="D15" s="2">
        <v>164.60883720000001</v>
      </c>
      <c r="E15" s="2">
        <v>231.992557374</v>
      </c>
      <c r="F15" s="7">
        <v>5423.3767082499999</v>
      </c>
      <c r="H15" s="2">
        <f t="shared" si="0"/>
        <v>82.304418600000005</v>
      </c>
    </row>
    <row r="16" spans="1:8" x14ac:dyDescent="0.3">
      <c r="B16" s="1">
        <v>8.6666671000000008E-3</v>
      </c>
      <c r="C16" s="8">
        <f>'Motion Profile'!G16</f>
        <v>-1.4768003988</v>
      </c>
      <c r="D16" s="2">
        <v>81.697524525099993</v>
      </c>
      <c r="E16" s="2">
        <v>225.067882502</v>
      </c>
      <c r="F16" s="7">
        <v>5223.0057351699998</v>
      </c>
      <c r="H16" s="2">
        <f t="shared" si="0"/>
        <v>40.848762262549997</v>
      </c>
    </row>
    <row r="17" spans="2:8" x14ac:dyDescent="0.3">
      <c r="B17" s="1">
        <v>9.3333337999999995E-3</v>
      </c>
      <c r="C17" s="8">
        <f>'Motion Profile'!G17</f>
        <v>-2.4112004335999995</v>
      </c>
      <c r="D17" s="2">
        <v>-34.513093060599999</v>
      </c>
      <c r="E17" s="2">
        <v>215.74052578300001</v>
      </c>
      <c r="F17" s="7">
        <v>4858.5263168900001</v>
      </c>
      <c r="H17" s="2">
        <f t="shared" si="0"/>
        <v>-17.2565465303</v>
      </c>
    </row>
    <row r="18" spans="2:8" x14ac:dyDescent="0.3">
      <c r="B18" s="1">
        <v>1.00000005E-2</v>
      </c>
      <c r="C18" s="8">
        <f>'Motion Profile'!G18</f>
        <v>-3.3200004647999997</v>
      </c>
      <c r="D18" s="2">
        <v>-194.696864127</v>
      </c>
      <c r="E18" s="2">
        <v>203.43766150600001</v>
      </c>
      <c r="F18" s="7">
        <v>4394.0201547200004</v>
      </c>
      <c r="H18" s="2">
        <f t="shared" si="0"/>
        <v>-97.348432063499999</v>
      </c>
    </row>
    <row r="19" spans="2:8" x14ac:dyDescent="0.3">
      <c r="B19" s="1">
        <v>1.06666672E-2</v>
      </c>
      <c r="C19" s="8">
        <f>'Motion Profile'!G19</f>
        <v>-4.2032004924000006</v>
      </c>
      <c r="D19" s="2">
        <v>-392.96585562000001</v>
      </c>
      <c r="E19" s="2">
        <v>188.28039864199999</v>
      </c>
      <c r="F19" s="7">
        <v>3837.9904879699998</v>
      </c>
      <c r="H19" s="2">
        <f t="shared" si="0"/>
        <v>-196.48292781000001</v>
      </c>
    </row>
    <row r="20" spans="2:8" x14ac:dyDescent="0.3">
      <c r="B20" s="1">
        <v>1.1333333900000001E-2</v>
      </c>
      <c r="C20" s="8">
        <f>'Motion Profile'!G20</f>
        <v>-5.0608005165000005</v>
      </c>
      <c r="D20" s="2">
        <v>-519.95662074799998</v>
      </c>
      <c r="E20" s="2">
        <v>158.06832564199999</v>
      </c>
      <c r="F20" s="7">
        <v>3006.5423816100001</v>
      </c>
      <c r="H20" s="2">
        <f t="shared" si="0"/>
        <v>-259.97831037399999</v>
      </c>
    </row>
    <row r="21" spans="2:8" x14ac:dyDescent="0.3">
      <c r="B21" s="1">
        <v>1.20000006E-2</v>
      </c>
      <c r="C21" s="8">
        <f>'Motion Profile'!G21</f>
        <v>-5.8928005369999994</v>
      </c>
      <c r="D21" s="2">
        <v>-491.17351405199997</v>
      </c>
      <c r="E21" s="2">
        <v>116.80185867500001</v>
      </c>
      <c r="F21" s="7">
        <v>1903.03146646</v>
      </c>
      <c r="H21" s="2">
        <f t="shared" si="0"/>
        <v>-245.58675702599999</v>
      </c>
    </row>
    <row r="22" spans="2:8" x14ac:dyDescent="0.3">
      <c r="B22" s="1">
        <v>1.26666673E-2</v>
      </c>
      <c r="C22" s="8">
        <f>'Motion Profile'!G22</f>
        <v>-6.6960005327999994</v>
      </c>
      <c r="D22" s="2">
        <v>-299.15689316999999</v>
      </c>
      <c r="E22" s="2">
        <v>72.085225614799995</v>
      </c>
      <c r="F22" s="7">
        <v>908.62140922699996</v>
      </c>
      <c r="H22" s="2">
        <f t="shared" si="0"/>
        <v>-149.57844658499999</v>
      </c>
    </row>
    <row r="23" spans="2:8" x14ac:dyDescent="0.3">
      <c r="B23" s="1">
        <v>1.3333334000000001E-2</v>
      </c>
      <c r="C23" s="8">
        <f>'Motion Profile'!G23</f>
        <v>-7.400000519999999</v>
      </c>
      <c r="D23" s="2">
        <v>-28.144090612799999</v>
      </c>
      <c r="E23" s="2">
        <v>32.183141782100002</v>
      </c>
      <c r="F23" s="7">
        <v>285.06544677599999</v>
      </c>
      <c r="H23" s="2">
        <f t="shared" si="0"/>
        <v>-14.0720453064</v>
      </c>
    </row>
    <row r="24" spans="2:8" x14ac:dyDescent="0.3">
      <c r="B24" s="1">
        <v>1.4000000699999999E-2</v>
      </c>
      <c r="C24" s="8">
        <f>'Motion Profile'!G24</f>
        <v>-7.9760005967999987</v>
      </c>
      <c r="D24" s="2">
        <v>214.17352093100001</v>
      </c>
      <c r="E24" s="2">
        <v>5.9803781392799999</v>
      </c>
      <c r="F24" s="7">
        <v>42.1328965075</v>
      </c>
      <c r="H24" s="2">
        <f t="shared" si="0"/>
        <v>107.08676046550001</v>
      </c>
    </row>
    <row r="25" spans="2:8" x14ac:dyDescent="0.3">
      <c r="B25" s="1">
        <v>1.46666674E-2</v>
      </c>
      <c r="C25" s="8">
        <f>'Motion Profile'!G25</f>
        <v>-8.4240007631999987</v>
      </c>
      <c r="D25" s="2">
        <v>386.111768461</v>
      </c>
      <c r="E25" s="2">
        <v>-8.6344278662700003</v>
      </c>
      <c r="F25" s="7">
        <v>1.95603745367</v>
      </c>
      <c r="H25" s="2">
        <f t="shared" si="0"/>
        <v>193.0558842305</v>
      </c>
    </row>
    <row r="26" spans="2:8" x14ac:dyDescent="0.3">
      <c r="B26" s="1">
        <v>1.53333341E-2</v>
      </c>
      <c r="C26" s="8">
        <f>'Motion Profile'!G26</f>
        <v>-8.7440010191999988</v>
      </c>
      <c r="D26" s="2">
        <v>486.788068071</v>
      </c>
      <c r="E26" s="2">
        <v>-14.4536030494</v>
      </c>
      <c r="F26" s="7">
        <v>13.6086192876</v>
      </c>
      <c r="H26" s="2">
        <f t="shared" si="0"/>
        <v>243.3940340355</v>
      </c>
    </row>
    <row r="27" spans="2:8" x14ac:dyDescent="0.3">
      <c r="B27" s="1">
        <v>1.6000000800000001E-2</v>
      </c>
      <c r="C27" s="8">
        <f>'Motion Profile'!G27</f>
        <v>-8.9360013647999992</v>
      </c>
      <c r="D27" s="2">
        <v>535.82308732900003</v>
      </c>
      <c r="E27" s="2">
        <v>-13.332403295800001</v>
      </c>
      <c r="F27" s="7">
        <v>19.312029456200001</v>
      </c>
      <c r="H27" s="2">
        <f t="shared" si="0"/>
        <v>267.91154366450002</v>
      </c>
    </row>
    <row r="28" spans="2:8" x14ac:dyDescent="0.3">
      <c r="B28" s="1">
        <v>1.6666667499999999E-2</v>
      </c>
      <c r="C28" s="8">
        <f>'Motion Profile'!G28</f>
        <v>-9.0000017999999997</v>
      </c>
      <c r="D28" s="2">
        <v>548.79205774699994</v>
      </c>
      <c r="E28" s="2">
        <v>-7.4135206585100004</v>
      </c>
      <c r="F28" s="7">
        <v>11.0517771152</v>
      </c>
      <c r="H28" s="2">
        <f t="shared" si="0"/>
        <v>274.39602887349997</v>
      </c>
    </row>
    <row r="29" spans="2:8" x14ac:dyDescent="0.3">
      <c r="B29" s="1">
        <v>1.7333334200000002E-2</v>
      </c>
      <c r="C29" s="8">
        <f>'Motion Profile'!G29</f>
        <v>-8.9104023197000011</v>
      </c>
      <c r="D29" s="2">
        <v>525.34873806999997</v>
      </c>
      <c r="E29" s="2">
        <v>2.3307294648500001</v>
      </c>
      <c r="F29" s="7">
        <v>1.4371225785099999</v>
      </c>
      <c r="H29" s="2">
        <f t="shared" si="0"/>
        <v>262.67436903499998</v>
      </c>
    </row>
    <row r="30" spans="2:8" x14ac:dyDescent="0.3">
      <c r="B30" s="1">
        <v>1.80000009E-2</v>
      </c>
      <c r="C30" s="8">
        <f>'Motion Profile'!G30</f>
        <v>-8.6416025346999987</v>
      </c>
      <c r="D30" s="2">
        <v>451.35740602999999</v>
      </c>
      <c r="E30" s="2">
        <v>12.7748183917</v>
      </c>
      <c r="F30" s="7">
        <v>6.6134310137499996</v>
      </c>
      <c r="H30" s="2">
        <f t="shared" si="0"/>
        <v>225.678703015</v>
      </c>
    </row>
    <row r="31" spans="2:8" x14ac:dyDescent="0.3">
      <c r="B31" s="1">
        <v>1.8666667599999999E-2</v>
      </c>
      <c r="C31" s="8">
        <f>'Motion Profile'!G31</f>
        <v>-8.1936024451000016</v>
      </c>
      <c r="D31" s="2">
        <v>298.37630209899999</v>
      </c>
      <c r="E31" s="2">
        <v>17.955812994599999</v>
      </c>
      <c r="F31" s="7">
        <v>23.832981843900001</v>
      </c>
      <c r="H31" s="2">
        <f t="shared" si="0"/>
        <v>149.18815104949999</v>
      </c>
    </row>
    <row r="32" spans="2:8" x14ac:dyDescent="0.3">
      <c r="B32" s="1">
        <v>1.9333334300000001E-2</v>
      </c>
      <c r="C32" s="8">
        <f>'Motion Profile'!G32</f>
        <v>-7.566402050899999</v>
      </c>
      <c r="D32" s="2">
        <v>42.2044628162</v>
      </c>
      <c r="E32" s="2">
        <v>12.7335620529</v>
      </c>
      <c r="F32" s="7">
        <v>23.7732093943</v>
      </c>
      <c r="H32" s="2">
        <f t="shared" si="0"/>
        <v>21.1022314081</v>
      </c>
    </row>
    <row r="33" spans="2:8" x14ac:dyDescent="0.3">
      <c r="B33" s="1">
        <v>2.0000001E-2</v>
      </c>
      <c r="C33" s="8">
        <f>'Motion Profile'!G33</f>
        <v>-6.7600013519999997</v>
      </c>
      <c r="D33" s="2">
        <v>-287.98820409799998</v>
      </c>
      <c r="E33" s="2">
        <v>-5.3118043451699997</v>
      </c>
      <c r="F33" s="7">
        <v>4.0906892571800002</v>
      </c>
      <c r="H33" s="2">
        <f t="shared" si="0"/>
        <v>-143.99410204899999</v>
      </c>
    </row>
    <row r="34" spans="2:8" x14ac:dyDescent="0.3">
      <c r="B34" s="1">
        <v>2.0666667699999999E-2</v>
      </c>
      <c r="C34" s="8">
        <f>'Motion Profile'!G34</f>
        <v>-5.7744003485000004</v>
      </c>
      <c r="D34" s="2">
        <v>-565.521698861</v>
      </c>
      <c r="E34" s="2">
        <v>-43.482956627500002</v>
      </c>
      <c r="F34" s="7">
        <v>71.665191347499999</v>
      </c>
      <c r="H34" s="2">
        <f t="shared" si="0"/>
        <v>-282.7608494305</v>
      </c>
    </row>
    <row r="35" spans="2:8" x14ac:dyDescent="0.3">
      <c r="B35" s="1">
        <v>2.1333334400000001E-2</v>
      </c>
      <c r="C35" s="8">
        <f>'Motion Profile'!G35</f>
        <v>-4.6672001289999994</v>
      </c>
      <c r="D35" s="2">
        <v>-649.25803270400002</v>
      </c>
      <c r="E35" s="2">
        <v>-104.080090931</v>
      </c>
      <c r="F35" s="7">
        <v>574.97143083599997</v>
      </c>
      <c r="H35" s="2">
        <f t="shared" si="0"/>
        <v>-324.62901635200001</v>
      </c>
    </row>
    <row r="36" spans="2:8" x14ac:dyDescent="0.3">
      <c r="B36" s="1">
        <v>2.20000011E-2</v>
      </c>
      <c r="C36" s="8">
        <f>'Motion Profile'!G36</f>
        <v>-3.5792002186000005</v>
      </c>
      <c r="D36" s="2">
        <v>-547.53584130399997</v>
      </c>
      <c r="E36" s="2">
        <v>-165.51130534999999</v>
      </c>
      <c r="F36" s="7">
        <v>1848.43630792</v>
      </c>
      <c r="H36" s="2">
        <f t="shared" si="0"/>
        <v>-273.76792065199999</v>
      </c>
    </row>
    <row r="37" spans="2:8" x14ac:dyDescent="0.3">
      <c r="B37" s="1">
        <v>2.2666667800000002E-2</v>
      </c>
      <c r="C37" s="8">
        <f>'Motion Profile'!G37</f>
        <v>-2.5168002902000008</v>
      </c>
      <c r="D37" s="2">
        <v>-413.90629661299999</v>
      </c>
      <c r="E37" s="2">
        <v>-207.849965419</v>
      </c>
      <c r="F37" s="7">
        <v>3499.9039805500001</v>
      </c>
      <c r="H37" s="2">
        <f t="shared" si="0"/>
        <v>-206.9531483065</v>
      </c>
    </row>
    <row r="38" spans="2:8" x14ac:dyDescent="0.3">
      <c r="B38" s="1">
        <v>2.33333345E-2</v>
      </c>
      <c r="C38" s="8">
        <f>'Motion Profile'!G38</f>
        <v>-1.4800003440000005</v>
      </c>
      <c r="D38" s="2">
        <v>-323.70498522899999</v>
      </c>
      <c r="E38" s="2">
        <v>-226.631041893</v>
      </c>
      <c r="F38" s="7">
        <v>4722.2830498100002</v>
      </c>
      <c r="H38" s="2">
        <f t="shared" si="0"/>
        <v>-161.85249261449999</v>
      </c>
    </row>
    <row r="39" spans="2:8" x14ac:dyDescent="0.3">
      <c r="B39" s="1">
        <v>2.4000001199999999E-2</v>
      </c>
      <c r="C39" s="8">
        <f>'Motion Profile'!G39</f>
        <v>-0.46880037983999934</v>
      </c>
      <c r="D39" s="2">
        <v>-255.10413535999999</v>
      </c>
      <c r="E39" s="2">
        <v>-232.913987666</v>
      </c>
      <c r="F39" s="7">
        <v>5279.8698165300002</v>
      </c>
      <c r="H39" s="2">
        <f t="shared" si="0"/>
        <v>-127.55206767999999</v>
      </c>
    </row>
    <row r="40" spans="2:8" x14ac:dyDescent="0.3">
      <c r="B40" s="1">
        <v>2.4666667900000001E-2</v>
      </c>
      <c r="C40" s="8">
        <f>'Motion Profile'!G40</f>
        <v>0.51679960224000077</v>
      </c>
      <c r="D40" s="2">
        <v>-175.475295174</v>
      </c>
      <c r="E40" s="2">
        <v>-231.56235945399999</v>
      </c>
      <c r="F40" s="7">
        <v>5393.4721499999996</v>
      </c>
      <c r="H40" s="2">
        <f t="shared" si="0"/>
        <v>-87.737647586999998</v>
      </c>
    </row>
    <row r="41" spans="2:8" x14ac:dyDescent="0.3">
      <c r="B41" s="1">
        <v>2.53333346E-2</v>
      </c>
      <c r="C41" s="8">
        <f>'Motion Profile'!G41</f>
        <v>1.4767996022399998</v>
      </c>
      <c r="D41" s="2">
        <v>-79.321495111999994</v>
      </c>
      <c r="E41" s="2">
        <v>-225.35879723100001</v>
      </c>
      <c r="F41" s="7">
        <v>5219.7442871900003</v>
      </c>
      <c r="H41" s="2">
        <f t="shared" si="0"/>
        <v>-39.660747555999997</v>
      </c>
    </row>
    <row r="42" spans="2:8" x14ac:dyDescent="0.3">
      <c r="B42" s="1">
        <v>2.6000001299999999E-2</v>
      </c>
      <c r="C42" s="8">
        <f>'Motion Profile'!G42</f>
        <v>2.4111996201599997</v>
      </c>
      <c r="D42" s="2">
        <v>49.930880864099997</v>
      </c>
      <c r="E42" s="2">
        <v>-216.19172168200001</v>
      </c>
      <c r="F42" s="7">
        <v>4874.8718127499997</v>
      </c>
      <c r="H42" s="2">
        <f t="shared" si="0"/>
        <v>24.965440432049999</v>
      </c>
    </row>
    <row r="43" spans="2:8" x14ac:dyDescent="0.3">
      <c r="B43" s="1">
        <v>2.6666668000000001E-2</v>
      </c>
      <c r="C43" s="8">
        <f>'Motion Profile'!G43</f>
        <v>3.3199996560000002</v>
      </c>
      <c r="D43" s="2">
        <v>221.92699597000001</v>
      </c>
      <c r="E43" s="2">
        <v>-204.13631720000001</v>
      </c>
      <c r="F43" s="7">
        <v>4418.1026132300003</v>
      </c>
      <c r="H43" s="2">
        <f t="shared" si="0"/>
        <v>110.963497985</v>
      </c>
    </row>
    <row r="44" spans="2:8" x14ac:dyDescent="0.3">
      <c r="B44" s="1">
        <v>2.73333347E-2</v>
      </c>
      <c r="C44" s="8">
        <f>'Motion Profile'!G44</f>
        <v>4.2031997097599998</v>
      </c>
      <c r="D44" s="2">
        <v>425.80106839299998</v>
      </c>
      <c r="E44" s="2">
        <v>-188.65330091300001</v>
      </c>
      <c r="F44" s="7">
        <v>3859.0898007000001</v>
      </c>
      <c r="H44" s="2">
        <f t="shared" si="0"/>
        <v>212.90053419649999</v>
      </c>
    </row>
    <row r="45" spans="2:8" x14ac:dyDescent="0.3">
      <c r="B45" s="1">
        <v>2.8000001399999998E-2</v>
      </c>
      <c r="C45" s="8">
        <f>'Motion Profile'!G45</f>
        <v>5.0607997814400001</v>
      </c>
      <c r="D45" s="2">
        <v>554.81049490999999</v>
      </c>
      <c r="E45" s="2">
        <v>-158.46889763300001</v>
      </c>
      <c r="F45" s="7">
        <v>3019.9380031000001</v>
      </c>
      <c r="H45" s="2">
        <f t="shared" si="0"/>
        <v>277.40524745499999</v>
      </c>
    </row>
    <row r="46" spans="2:8" x14ac:dyDescent="0.3">
      <c r="B46" s="1">
        <v>2.8666668100000001E-2</v>
      </c>
      <c r="C46" s="8">
        <f>'Motion Profile'!G46</f>
        <v>5.8927998710399994</v>
      </c>
      <c r="D46" s="2">
        <v>530.06631876200004</v>
      </c>
      <c r="E46" s="2">
        <v>-115.079752289</v>
      </c>
      <c r="F46" s="7">
        <v>1886.4100796299999</v>
      </c>
      <c r="H46" s="2">
        <f t="shared" si="0"/>
        <v>265.03315938100002</v>
      </c>
    </row>
    <row r="47" spans="2:8" x14ac:dyDescent="0.3">
      <c r="B47" s="1">
        <v>2.9333334799999999E-2</v>
      </c>
      <c r="C47" s="8">
        <f>'Motion Profile'!G47</f>
        <v>6.6960000144</v>
      </c>
      <c r="D47" s="2">
        <v>328.56728218500001</v>
      </c>
      <c r="E47" s="2">
        <v>-70.279603300600002</v>
      </c>
      <c r="F47" s="7">
        <v>875.67771218899998</v>
      </c>
      <c r="H47" s="2">
        <f t="shared" si="0"/>
        <v>164.28364109250001</v>
      </c>
    </row>
    <row r="48" spans="2:8" x14ac:dyDescent="0.3">
      <c r="B48" s="1">
        <v>3.0000001500000002E-2</v>
      </c>
      <c r="C48" s="8">
        <f>'Motion Profile'!G48</f>
        <v>7.3999995599999995</v>
      </c>
      <c r="D48" s="2">
        <v>57.519309454599998</v>
      </c>
      <c r="E48" s="2">
        <v>-36.295981214100003</v>
      </c>
      <c r="F48" s="7">
        <v>293.58293511699998</v>
      </c>
      <c r="H48" s="2">
        <f t="shared" si="0"/>
        <v>28.759654727299999</v>
      </c>
    </row>
    <row r="49" spans="2:8" x14ac:dyDescent="0.3">
      <c r="B49" s="1">
        <v>3.06666682E-2</v>
      </c>
      <c r="C49" s="8">
        <f>'Motion Profile'!G49</f>
        <v>7.9759979663799996</v>
      </c>
      <c r="D49" s="2">
        <v>-190.34342215199999</v>
      </c>
      <c r="E49" s="2">
        <v>-6.4223499258199999</v>
      </c>
      <c r="F49" s="7">
        <v>53.058344104200003</v>
      </c>
      <c r="H49" s="2">
        <f t="shared" si="0"/>
        <v>-95.171711075999994</v>
      </c>
    </row>
    <row r="50" spans="2:8" x14ac:dyDescent="0.3">
      <c r="B50" s="1">
        <v>3.1333334900000002E-2</v>
      </c>
      <c r="C50" s="8">
        <f>'Motion Profile'!G50</f>
        <v>8.4239952335569992</v>
      </c>
      <c r="D50" s="2">
        <v>-358.34285018999998</v>
      </c>
      <c r="E50" s="2">
        <v>10.3933027246</v>
      </c>
      <c r="F50" s="7">
        <v>2.7505964371</v>
      </c>
      <c r="H50" s="2">
        <f t="shared" si="0"/>
        <v>-179.17142509499999</v>
      </c>
    </row>
    <row r="51" spans="2:8" x14ac:dyDescent="0.3">
      <c r="B51" s="1">
        <v>3.2000001600000001E-2</v>
      </c>
      <c r="C51" s="8">
        <f>'Motion Profile'!G51</f>
        <v>8.7439913615229994</v>
      </c>
      <c r="D51" s="2">
        <v>-455.81823939899999</v>
      </c>
      <c r="E51" s="2">
        <v>17.2130797616</v>
      </c>
      <c r="F51" s="7">
        <v>19.4403868397</v>
      </c>
      <c r="H51" s="2">
        <f t="shared" si="0"/>
        <v>-227.9091196995</v>
      </c>
    </row>
    <row r="52" spans="2:8" x14ac:dyDescent="0.3">
      <c r="B52" s="1">
        <v>3.26666683E-2</v>
      </c>
      <c r="C52" s="8">
        <f>'Motion Profile'!G52</f>
        <v>8.9359863502780996</v>
      </c>
      <c r="D52" s="2">
        <v>-503.19760364400003</v>
      </c>
      <c r="E52" s="2">
        <v>16.0903638757</v>
      </c>
      <c r="F52" s="7">
        <v>27.738488043899999</v>
      </c>
      <c r="H52" s="2">
        <f t="shared" si="0"/>
        <v>-251.59880182200001</v>
      </c>
    </row>
    <row r="53" spans="2:8" x14ac:dyDescent="0.3">
      <c r="B53" s="1">
        <v>3.3333334999999999E-2</v>
      </c>
      <c r="C53" s="8">
        <f>'Motion Profile'!G53</f>
        <v>8.99998019975307</v>
      </c>
      <c r="D53" s="2">
        <v>-398.21775746899999</v>
      </c>
      <c r="E53" s="2">
        <v>31.978156000199998</v>
      </c>
      <c r="F53" s="7">
        <v>59.8680812315</v>
      </c>
      <c r="H53" s="2">
        <f t="shared" si="0"/>
        <v>-199.1088787345</v>
      </c>
    </row>
    <row r="54" spans="2:8" x14ac:dyDescent="0.3">
      <c r="B54" s="1">
        <v>3.4000001699999997E-2</v>
      </c>
      <c r="C54" s="8">
        <f>'Motion Profile'!G54</f>
        <v>8.9103707899613998</v>
      </c>
      <c r="D54" s="1"/>
      <c r="E54" s="1"/>
    </row>
    <row r="55" spans="2:8" x14ac:dyDescent="0.3">
      <c r="B55" s="1">
        <v>3.4666668400000003E-2</v>
      </c>
      <c r="C55" s="8">
        <f>'Motion Profile'!G55</f>
        <v>8.6415613765860009</v>
      </c>
      <c r="D55" s="1"/>
      <c r="E55" s="1"/>
    </row>
    <row r="56" spans="2:8" x14ac:dyDescent="0.3">
      <c r="B56" s="1">
        <v>3.5333335100000002E-2</v>
      </c>
      <c r="C56" s="8">
        <f>'Motion Profile'!G56</f>
        <v>8.1935519596259994</v>
      </c>
      <c r="D56" s="1"/>
      <c r="E56" s="1"/>
    </row>
    <row r="57" spans="2:8" x14ac:dyDescent="0.3">
      <c r="B57" s="1">
        <v>3.60000018E-2</v>
      </c>
      <c r="C57" s="8">
        <f>'Motion Profile'!G57</f>
        <v>7.5663425390799999</v>
      </c>
      <c r="D57" s="1"/>
      <c r="E57" s="1"/>
    </row>
    <row r="58" spans="2:8" x14ac:dyDescent="0.3">
      <c r="B58" s="1">
        <v>3.6666668499999999E-2</v>
      </c>
      <c r="C58" s="8">
        <f>'Motion Profile'!G58</f>
        <v>6.7599331149499999</v>
      </c>
      <c r="D58" s="1"/>
      <c r="E58" s="1"/>
    </row>
    <row r="59" spans="2:8" x14ac:dyDescent="0.3">
      <c r="B59" s="1">
        <v>3.7333335199999998E-2</v>
      </c>
      <c r="C59" s="8">
        <f>'Motion Profile'!G59</f>
        <v>5.7743236872399999</v>
      </c>
      <c r="D59" s="1"/>
      <c r="E59" s="1"/>
    </row>
    <row r="60" spans="2:8" x14ac:dyDescent="0.3">
      <c r="B60" s="1">
        <v>3.8000001899999997E-2</v>
      </c>
      <c r="C60" s="8">
        <f>'Motion Profile'!G60</f>
        <v>4.6671222934400003</v>
      </c>
      <c r="D60" s="1"/>
      <c r="E60" s="1"/>
    </row>
    <row r="61" spans="2:8" x14ac:dyDescent="0.3">
      <c r="B61" s="1">
        <v>3.8666668600000002E-2</v>
      </c>
      <c r="C61" s="8">
        <f>'Motion Profile'!G61</f>
        <v>3.5791235811200002</v>
      </c>
      <c r="D61" s="1"/>
      <c r="E61" s="1"/>
    </row>
    <row r="62" spans="2:8" x14ac:dyDescent="0.3">
      <c r="B62" s="1">
        <v>3.9333335300000001E-2</v>
      </c>
      <c r="C62" s="8">
        <f>'Motion Profile'!G62</f>
        <v>2.5167248723900002</v>
      </c>
      <c r="D62" s="1"/>
      <c r="E62" s="1"/>
    </row>
    <row r="63" spans="2:8" x14ac:dyDescent="0.3">
      <c r="B63" s="1">
        <v>4.0000002E-2</v>
      </c>
      <c r="C63" s="8">
        <f>'Motion Profile'!G63</f>
        <v>1.4799261672400004</v>
      </c>
      <c r="D63" s="1"/>
      <c r="E63" s="1"/>
    </row>
    <row r="64" spans="2:8" x14ac:dyDescent="0.3">
      <c r="B64" s="1">
        <v>4.0666668699999999E-2</v>
      </c>
      <c r="C64" s="8">
        <f>'Motion Profile'!G64</f>
        <v>0.46872746566999979</v>
      </c>
      <c r="D64" s="1"/>
      <c r="E64" s="1"/>
    </row>
    <row r="65" spans="2:5" x14ac:dyDescent="0.3">
      <c r="B65" s="1">
        <v>4.1333335399999997E-2</v>
      </c>
      <c r="C65" s="8">
        <f>'Motion Profile'!G65</f>
        <v>-0.51687123231999976</v>
      </c>
      <c r="D65" s="1"/>
      <c r="E65" s="1"/>
    </row>
    <row r="66" spans="2:5" x14ac:dyDescent="0.3">
      <c r="B66" s="1">
        <v>4.2000002100000003E-2</v>
      </c>
      <c r="C66" s="8">
        <f>'Motion Profile'!G66</f>
        <v>-1.4768699266999992</v>
      </c>
      <c r="D66" s="1"/>
      <c r="E66" s="1"/>
    </row>
    <row r="67" spans="2:5" x14ac:dyDescent="0.3">
      <c r="B67" s="1">
        <v>4.2666668800000002E-2</v>
      </c>
      <c r="C67" s="8">
        <f>'Motion Profile'!G67</f>
        <v>-2.4112686174999993</v>
      </c>
      <c r="D67" s="1"/>
      <c r="E67" s="1"/>
    </row>
    <row r="68" spans="2:5" x14ac:dyDescent="0.3">
      <c r="B68" s="1">
        <v>4.33333355E-2</v>
      </c>
      <c r="C68" s="8">
        <f>'Motion Profile'!G68</f>
        <v>-3.3200673048000002</v>
      </c>
      <c r="D68" s="1"/>
      <c r="E68" s="1"/>
    </row>
    <row r="69" spans="2:5" x14ac:dyDescent="0.3">
      <c r="B69" s="1">
        <v>4.4000002199999999E-2</v>
      </c>
      <c r="C69" s="8">
        <f>'Motion Profile'!G69</f>
        <v>-4.2032659884000001</v>
      </c>
      <c r="D69" s="1"/>
      <c r="E69" s="1"/>
    </row>
    <row r="70" spans="2:5" x14ac:dyDescent="0.3">
      <c r="B70" s="1">
        <v>4.4666668899999998E-2</v>
      </c>
      <c r="C70" s="8">
        <f>'Motion Profile'!G70</f>
        <v>-5.0608646685000007</v>
      </c>
      <c r="D70" s="1"/>
      <c r="E70" s="1"/>
    </row>
    <row r="71" spans="2:5" x14ac:dyDescent="0.3">
      <c r="B71" s="1">
        <v>4.5333335600000003E-2</v>
      </c>
      <c r="C71" s="8">
        <f>'Motion Profile'!G71</f>
        <v>-5.8928633450000003</v>
      </c>
      <c r="D71" s="1"/>
      <c r="E71" s="1"/>
    </row>
    <row r="72" spans="2:5" x14ac:dyDescent="0.3">
      <c r="B72" s="1">
        <v>4.6000002300000002E-2</v>
      </c>
      <c r="C72" s="8">
        <f>'Motion Profile'!G72</f>
        <v>-6.6960606525999999</v>
      </c>
      <c r="D72" s="1"/>
      <c r="E72" s="1"/>
    </row>
    <row r="73" spans="2:5" x14ac:dyDescent="0.3">
      <c r="B73" s="1">
        <v>4.6666669000000001E-2</v>
      </c>
      <c r="C73" s="8">
        <f>'Motion Profile'!G73</f>
        <v>-7.4000539198000013</v>
      </c>
      <c r="D73" s="1"/>
      <c r="E73" s="1"/>
    </row>
    <row r="74" spans="2:5" x14ac:dyDescent="0.3">
      <c r="B74" s="1">
        <v>4.73333357E-2</v>
      </c>
      <c r="C74" s="8">
        <f>'Motion Profile'!G74</f>
        <v>-7.9760472765999992</v>
      </c>
      <c r="D74" s="1"/>
      <c r="E74" s="1"/>
    </row>
    <row r="75" spans="2:5" x14ac:dyDescent="0.3">
      <c r="B75" s="1">
        <v>4.8000002399999998E-2</v>
      </c>
      <c r="C75" s="8">
        <f>'Motion Profile'!G75</f>
        <v>-8.424040723000001</v>
      </c>
      <c r="D75" s="1"/>
      <c r="E75" s="1"/>
    </row>
    <row r="76" spans="2:5" x14ac:dyDescent="0.3">
      <c r="B76" s="1">
        <v>4.8666669099999997E-2</v>
      </c>
      <c r="C76" s="8">
        <f>'Motion Profile'!G76</f>
        <v>-8.7440342589999993</v>
      </c>
      <c r="D76" s="1"/>
      <c r="E76" s="1"/>
    </row>
    <row r="77" spans="2:5" x14ac:dyDescent="0.3">
      <c r="B77" s="1">
        <v>4.9333335800000003E-2</v>
      </c>
      <c r="C77" s="8">
        <f>'Motion Profile'!G77</f>
        <v>-8.9360278846000014</v>
      </c>
      <c r="D77" s="1"/>
      <c r="E77" s="1"/>
    </row>
    <row r="78" spans="2:5" x14ac:dyDescent="0.3">
      <c r="B78" s="1">
        <v>5.0000002500000001E-2</v>
      </c>
      <c r="C78" s="8">
        <f>'Motion Profile'!G78</f>
        <v>-9.0000215998000002</v>
      </c>
      <c r="D78" s="1"/>
      <c r="E78" s="1"/>
    </row>
    <row r="79" spans="2:5" x14ac:dyDescent="0.3">
      <c r="B79" s="1">
        <v>5.06666692E-2</v>
      </c>
      <c r="C79" s="8">
        <f>'Motion Profile'!G79</f>
        <v>-8.9104127115000011</v>
      </c>
      <c r="D79" s="1"/>
      <c r="E79" s="1"/>
    </row>
    <row r="80" spans="2:5" x14ac:dyDescent="0.3">
      <c r="B80" s="1">
        <v>5.1333335899999999E-2</v>
      </c>
      <c r="C80" s="8">
        <f>'Motion Profile'!G80</f>
        <v>-8.6416035184999984</v>
      </c>
      <c r="D80" s="1"/>
      <c r="E80" s="1"/>
    </row>
    <row r="81" spans="2:5" x14ac:dyDescent="0.3">
      <c r="B81" s="1">
        <v>5.2000002599999998E-2</v>
      </c>
      <c r="C81" s="8">
        <f>'Motion Profile'!G81</f>
        <v>-8.1935940209000009</v>
      </c>
      <c r="D81" s="1"/>
      <c r="E81" s="1"/>
    </row>
    <row r="82" spans="2:5" x14ac:dyDescent="0.3">
      <c r="B82" s="1">
        <v>5.2666669300000003E-2</v>
      </c>
      <c r="C82" s="8">
        <f>'Motion Profile'!G82</f>
        <v>-7.5663842185999997</v>
      </c>
      <c r="D82" s="1"/>
      <c r="E82" s="1"/>
    </row>
    <row r="83" spans="2:5" x14ac:dyDescent="0.3">
      <c r="B83" s="1">
        <v>5.3333336000000002E-2</v>
      </c>
      <c r="C83" s="8">
        <f>'Motion Profile'!G83</f>
        <v>-6.7599741117000001</v>
      </c>
      <c r="D83" s="1"/>
      <c r="E83" s="1"/>
    </row>
    <row r="84" spans="2:5" x14ac:dyDescent="0.3">
      <c r="B84" s="1">
        <v>5.4000002700000001E-2</v>
      </c>
      <c r="C84" s="8">
        <f>'Motion Profile'!G84</f>
        <v>-5.7743637002000003</v>
      </c>
      <c r="D84" s="1"/>
      <c r="E84" s="1"/>
    </row>
    <row r="85" spans="2:5" x14ac:dyDescent="0.3">
      <c r="B85" s="1">
        <v>5.4666669399999999E-2</v>
      </c>
      <c r="C85" s="8">
        <f>'Motion Profile'!G85</f>
        <v>-4.667162137</v>
      </c>
      <c r="D85" s="1"/>
      <c r="E85" s="1"/>
    </row>
    <row r="86" spans="2:5" x14ac:dyDescent="0.3">
      <c r="B86" s="1">
        <v>5.5333336099999998E-2</v>
      </c>
      <c r="C86" s="8">
        <f>'Motion Profile'!G86</f>
        <v>-3.5791635706000005</v>
      </c>
      <c r="D86" s="1"/>
      <c r="E86" s="1"/>
    </row>
    <row r="87" spans="2:5" x14ac:dyDescent="0.3">
      <c r="B87" s="1">
        <v>5.6000002799999997E-2</v>
      </c>
      <c r="C87" s="8">
        <f>'Motion Profile'!G87</f>
        <v>-2.5167649863000001</v>
      </c>
      <c r="D87" s="1"/>
      <c r="E87" s="1"/>
    </row>
    <row r="88" spans="2:5" x14ac:dyDescent="0.3">
      <c r="B88" s="1">
        <v>5.6666669500000003E-2</v>
      </c>
      <c r="C88" s="8">
        <f>'Motion Profile'!G88</f>
        <v>-1.4799663840000008</v>
      </c>
      <c r="D88" s="1"/>
      <c r="E88" s="1"/>
    </row>
    <row r="89" spans="2:5" x14ac:dyDescent="0.3">
      <c r="B89" s="1">
        <v>5.7333336200000001E-2</v>
      </c>
      <c r="C89" s="8">
        <f>'Motion Profile'!G89</f>
        <v>-0.46876776388000074</v>
      </c>
      <c r="D89" s="1"/>
      <c r="E89" s="1"/>
    </row>
    <row r="90" spans="2:5" x14ac:dyDescent="0.3">
      <c r="B90" s="1">
        <v>5.80000029E-2</v>
      </c>
      <c r="C90" s="8">
        <f>'Motion Profile'!G90</f>
        <v>0.51683087420000007</v>
      </c>
      <c r="D90" s="1"/>
      <c r="E90" s="1"/>
    </row>
    <row r="91" spans="2:5" x14ac:dyDescent="0.3">
      <c r="B91" s="1">
        <v>5.8666669599999999E-2</v>
      </c>
      <c r="C91" s="8">
        <f>'Motion Profile'!G91</f>
        <v>1.4768295301999999</v>
      </c>
      <c r="D91" s="1"/>
      <c r="E91" s="1"/>
    </row>
    <row r="92" spans="2:5" x14ac:dyDescent="0.3">
      <c r="B92" s="1">
        <v>5.9333336299999997E-2</v>
      </c>
      <c r="C92" s="8">
        <f>'Motion Profile'!G92</f>
        <v>2.4112282041200004</v>
      </c>
      <c r="D92" s="1"/>
      <c r="E92" s="1"/>
    </row>
    <row r="93" spans="2:5" x14ac:dyDescent="0.3">
      <c r="B93" s="1">
        <v>6.0000003000000003E-2</v>
      </c>
      <c r="C93" s="8">
        <f>'Motion Profile'!G93</f>
        <v>3.3200268959599999</v>
      </c>
      <c r="D93" s="1"/>
      <c r="E93" s="1"/>
    </row>
    <row r="94" spans="2:5" x14ac:dyDescent="0.3">
      <c r="B94" s="1">
        <v>6.0666669700000002E-2</v>
      </c>
      <c r="C94" s="8">
        <f>'Motion Profile'!G94</f>
        <v>4.2032256057300001</v>
      </c>
      <c r="D94" s="1"/>
      <c r="E94" s="1"/>
    </row>
    <row r="95" spans="2:5" x14ac:dyDescent="0.3">
      <c r="B95" s="1">
        <v>6.1333336400000001E-2</v>
      </c>
      <c r="C95" s="8">
        <f>'Motion Profile'!G95</f>
        <v>5.0608243334100003</v>
      </c>
      <c r="D95" s="1"/>
      <c r="E95" s="1"/>
    </row>
    <row r="96" spans="2:5" x14ac:dyDescent="0.3">
      <c r="B96" s="1">
        <v>6.2000003099999999E-2</v>
      </c>
      <c r="C96" s="8">
        <f>'Motion Profile'!G96</f>
        <v>5.8928230790100002</v>
      </c>
      <c r="D96" s="1"/>
      <c r="E96" s="1"/>
    </row>
    <row r="97" spans="2:5" x14ac:dyDescent="0.3">
      <c r="B97" s="1">
        <v>6.2666669800000005E-2</v>
      </c>
      <c r="C97" s="8">
        <f>'Motion Profile'!G97</f>
        <v>6.6960205342299997</v>
      </c>
      <c r="D97" s="1"/>
      <c r="E97" s="1"/>
    </row>
    <row r="98" spans="2:5" x14ac:dyDescent="0.3">
      <c r="B98" s="1">
        <v>6.3333336500000004E-2</v>
      </c>
      <c r="C98" s="8">
        <f>'Motion Profile'!G98</f>
        <v>7.40001335976</v>
      </c>
      <c r="D98" s="1"/>
      <c r="E98" s="1"/>
    </row>
    <row r="99" spans="2:5" x14ac:dyDescent="0.3">
      <c r="B99" s="1">
        <v>6.4000003200000002E-2</v>
      </c>
      <c r="C99" s="8">
        <f>'Motion Profile'!G99</f>
        <v>7.9760050460900001</v>
      </c>
      <c r="D99" s="1"/>
      <c r="E99" s="1"/>
    </row>
    <row r="100" spans="2:5" x14ac:dyDescent="0.3">
      <c r="B100" s="1">
        <v>6.4666669900000001E-2</v>
      </c>
      <c r="C100" s="8">
        <f>'Motion Profile'!G100</f>
        <v>8.4239955932059996</v>
      </c>
      <c r="D100" s="1"/>
      <c r="E100" s="1"/>
    </row>
    <row r="101" spans="2:5" x14ac:dyDescent="0.3">
      <c r="B101" s="1">
        <v>6.53333366E-2</v>
      </c>
      <c r="C101" s="8">
        <f>'Motion Profile'!G101</f>
        <v>8.7439850011119997</v>
      </c>
      <c r="D101" s="1"/>
      <c r="E101" s="1"/>
    </row>
    <row r="102" spans="2:5" x14ac:dyDescent="0.3">
      <c r="B102" s="1">
        <v>6.6000003299999999E-2</v>
      </c>
      <c r="C102" s="8">
        <f>'Motion Profile'!G102</f>
        <v>8.9359732698084002</v>
      </c>
      <c r="D102" s="1"/>
      <c r="E102" s="1"/>
    </row>
    <row r="103" spans="2:5" x14ac:dyDescent="0.3">
      <c r="B103" s="1">
        <v>6.6666669999999997E-2</v>
      </c>
      <c r="C103" s="8">
        <f>'Motion Profile'!G103</f>
        <v>8.9999603990122345</v>
      </c>
      <c r="D103" s="1"/>
      <c r="E103" s="1"/>
    </row>
  </sheetData>
  <mergeCells count="1">
    <mergeCell ref="D1:E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828EC-4B3A-4F3B-AD73-0087D678D10F}">
  <dimension ref="A1:H103"/>
  <sheetViews>
    <sheetView zoomScaleNormal="100" workbookViewId="0">
      <selection activeCell="H2" sqref="H2"/>
    </sheetView>
  </sheetViews>
  <sheetFormatPr defaultColWidth="8.6640625" defaultRowHeight="14.4" x14ac:dyDescent="0.3"/>
  <cols>
    <col min="3" max="3" width="12" bestFit="1" customWidth="1"/>
    <col min="4" max="4" width="12.6640625" bestFit="1" customWidth="1"/>
    <col min="5" max="5" width="11" bestFit="1" customWidth="1"/>
    <col min="6" max="6" width="12.21875" bestFit="1" customWidth="1"/>
    <col min="7" max="7" width="4" customWidth="1"/>
    <col min="8" max="8" width="18.21875" bestFit="1" customWidth="1"/>
  </cols>
  <sheetData>
    <row r="1" spans="1:8" x14ac:dyDescent="0.3">
      <c r="A1" s="5"/>
      <c r="B1" s="5"/>
      <c r="C1" s="5"/>
      <c r="D1" s="6"/>
      <c r="E1" s="6"/>
      <c r="F1" s="5"/>
    </row>
    <row r="2" spans="1:8" x14ac:dyDescent="0.3">
      <c r="B2" s="1" t="s">
        <v>0</v>
      </c>
      <c r="C2" s="1" t="s">
        <v>7</v>
      </c>
      <c r="D2" s="1" t="s">
        <v>2</v>
      </c>
      <c r="E2" s="1" t="s">
        <v>4</v>
      </c>
      <c r="F2" s="4" t="s">
        <v>3</v>
      </c>
      <c r="H2" s="1" t="s">
        <v>11</v>
      </c>
    </row>
    <row r="3" spans="1:8" x14ac:dyDescent="0.3">
      <c r="B3" s="1">
        <v>0</v>
      </c>
      <c r="C3" s="8">
        <f>'Motion Profile'!G3</f>
        <v>9</v>
      </c>
      <c r="D3" s="2">
        <v>-512.66485724500001</v>
      </c>
      <c r="E3" s="2">
        <v>-1.0354927026299999E-7</v>
      </c>
      <c r="F3" s="7">
        <v>7.1483009147099998E-16</v>
      </c>
      <c r="H3" s="8">
        <f>D3/2</f>
        <v>-256.3324286225</v>
      </c>
    </row>
    <row r="4" spans="1:8" x14ac:dyDescent="0.3">
      <c r="B4" s="1">
        <v>6.6666670000000003E-4</v>
      </c>
      <c r="C4" s="8">
        <f>'Motion Profile'!G4</f>
        <v>8.9103999982079998</v>
      </c>
      <c r="D4" s="2">
        <v>-490.42121504300002</v>
      </c>
      <c r="E4" s="2">
        <v>-4.2283543080900001</v>
      </c>
      <c r="F4" s="7">
        <v>1.1919320394999999</v>
      </c>
      <c r="H4" s="8">
        <f t="shared" ref="H4:H53" si="0">D4/2</f>
        <v>-245.21060752150001</v>
      </c>
    </row>
    <row r="5" spans="1:8" x14ac:dyDescent="0.3">
      <c r="B5" s="1">
        <v>1.3333334000000001E-3</v>
      </c>
      <c r="C5" s="8">
        <f>'Motion Profile'!G5</f>
        <v>8.6415999928319991</v>
      </c>
      <c r="D5" s="2">
        <v>-417.66430965900003</v>
      </c>
      <c r="E5" s="2">
        <v>-13.028870635000001</v>
      </c>
      <c r="F5" s="7">
        <v>16.1814087638</v>
      </c>
      <c r="H5" s="8">
        <f t="shared" si="0"/>
        <v>-208.83215482950001</v>
      </c>
    </row>
    <row r="6" spans="1:8" x14ac:dyDescent="0.3">
      <c r="B6" s="1">
        <v>2.0000001000000001E-3</v>
      </c>
      <c r="C6" s="8">
        <f>'Motion Profile'!G6</f>
        <v>8.1935999838719997</v>
      </c>
      <c r="D6" s="2">
        <v>-270.74982181399997</v>
      </c>
      <c r="E6" s="2">
        <v>-18.8019270946</v>
      </c>
      <c r="F6" s="7">
        <v>51.215453886600002</v>
      </c>
      <c r="H6" s="8">
        <f t="shared" si="0"/>
        <v>-135.37491090699999</v>
      </c>
    </row>
    <row r="7" spans="1:8" x14ac:dyDescent="0.3">
      <c r="B7" s="1">
        <v>2.6666668000000001E-3</v>
      </c>
      <c r="C7" s="8">
        <f>'Motion Profile'!G7</f>
        <v>7.5663999713300001</v>
      </c>
      <c r="D7" s="2">
        <v>-15.063854172199999</v>
      </c>
      <c r="E7" s="2">
        <v>-15.5320432758</v>
      </c>
      <c r="F7" s="7">
        <v>59.119278406100001</v>
      </c>
      <c r="H7" s="8">
        <f t="shared" si="0"/>
        <v>-7.5319270860999996</v>
      </c>
    </row>
    <row r="8" spans="1:8" x14ac:dyDescent="0.3">
      <c r="B8" s="1">
        <v>3.3333335000000001E-3</v>
      </c>
      <c r="C8" s="8">
        <f>'Motion Profile'!G8</f>
        <v>6.7599999551999996</v>
      </c>
      <c r="D8" s="2">
        <v>317.40761100999998</v>
      </c>
      <c r="E8" s="2">
        <v>3.3189361778699999</v>
      </c>
      <c r="F8" s="7">
        <v>13.380656355299999</v>
      </c>
      <c r="H8" s="8">
        <f t="shared" si="0"/>
        <v>158.70380550499999</v>
      </c>
    </row>
    <row r="9" spans="1:8" x14ac:dyDescent="0.3">
      <c r="B9" s="1">
        <v>4.0000002000000002E-3</v>
      </c>
      <c r="C9" s="8">
        <f>'Motion Profile'!G9</f>
        <v>5.77439993549</v>
      </c>
      <c r="D9" s="2">
        <v>610.95747273200004</v>
      </c>
      <c r="E9" s="2">
        <v>32.0999821423</v>
      </c>
      <c r="F9" s="7">
        <v>76.530798862200001</v>
      </c>
      <c r="H9" s="8">
        <f t="shared" si="0"/>
        <v>305.47873636600002</v>
      </c>
    </row>
    <row r="10" spans="1:8" x14ac:dyDescent="0.3">
      <c r="B10" s="1">
        <v>4.6666668999999997E-3</v>
      </c>
      <c r="C10" s="8">
        <f>'Motion Profile'!G10</f>
        <v>4.6671998854099996</v>
      </c>
      <c r="D10" s="2">
        <v>717.06823616500003</v>
      </c>
      <c r="E10" s="2">
        <v>80.888057592600006</v>
      </c>
      <c r="F10" s="7">
        <v>677.98612792599999</v>
      </c>
      <c r="H10" s="8">
        <f t="shared" si="0"/>
        <v>358.53411808250002</v>
      </c>
    </row>
    <row r="11" spans="1:8" x14ac:dyDescent="0.3">
      <c r="B11" s="1">
        <v>5.3333336000000002E-3</v>
      </c>
      <c r="C11" s="8">
        <f>'Motion Profile'!G11</f>
        <v>3.5791998290900002</v>
      </c>
      <c r="D11" s="2">
        <v>661.54599089999999</v>
      </c>
      <c r="E11" s="2">
        <v>135.23246316300001</v>
      </c>
      <c r="F11" s="7">
        <v>2384.6258815199999</v>
      </c>
      <c r="H11" s="8">
        <f t="shared" si="0"/>
        <v>330.77299545</v>
      </c>
    </row>
    <row r="12" spans="1:8" x14ac:dyDescent="0.3">
      <c r="B12" s="1">
        <v>6.0000002999999998E-3</v>
      </c>
      <c r="C12" s="8">
        <f>'Motion Profile'!G12</f>
        <v>2.5167997763500001</v>
      </c>
      <c r="D12" s="2">
        <v>566.29366061200005</v>
      </c>
      <c r="E12" s="2">
        <v>179.34517043</v>
      </c>
      <c r="F12" s="7">
        <v>4980.3865602100004</v>
      </c>
      <c r="H12" s="8">
        <f t="shared" si="0"/>
        <v>283.14683030600003</v>
      </c>
    </row>
    <row r="13" spans="1:8" x14ac:dyDescent="0.3">
      <c r="B13" s="1">
        <v>6.6666670000000003E-3</v>
      </c>
      <c r="C13" s="8">
        <f>'Motion Profile'!G13</f>
        <v>1.4799997272000001</v>
      </c>
      <c r="D13" s="2">
        <v>495.39292226999999</v>
      </c>
      <c r="E13" s="2">
        <v>205.493036684</v>
      </c>
      <c r="F13" s="7">
        <v>7416.4174645700004</v>
      </c>
      <c r="H13" s="8">
        <f t="shared" si="0"/>
        <v>247.69646113499999</v>
      </c>
    </row>
    <row r="14" spans="1:8" x14ac:dyDescent="0.3">
      <c r="B14" s="1">
        <v>7.3333336999999998E-3</v>
      </c>
      <c r="C14" s="8">
        <f>'Motion Profile'!G14</f>
        <v>0.4687996816299993</v>
      </c>
      <c r="D14" s="2">
        <v>432.08078000699999</v>
      </c>
      <c r="E14" s="2">
        <v>219.01595460799999</v>
      </c>
      <c r="F14" s="7">
        <v>9013.4420062000008</v>
      </c>
      <c r="H14" s="8">
        <f t="shared" si="0"/>
        <v>216.04039000349999</v>
      </c>
    </row>
    <row r="15" spans="1:8" x14ac:dyDescent="0.3">
      <c r="B15" s="1">
        <v>8.0000004000000003E-3</v>
      </c>
      <c r="C15" s="8">
        <f>'Motion Profile'!G15</f>
        <v>-0.51680036035000043</v>
      </c>
      <c r="D15" s="2">
        <v>358.27295049200001</v>
      </c>
      <c r="E15" s="2">
        <v>222.727862757</v>
      </c>
      <c r="F15" s="7">
        <v>9757.1096467099997</v>
      </c>
      <c r="H15" s="8">
        <f t="shared" si="0"/>
        <v>179.136475246</v>
      </c>
    </row>
    <row r="16" spans="1:8" x14ac:dyDescent="0.3">
      <c r="B16" s="1">
        <v>8.6666671000000008E-3</v>
      </c>
      <c r="C16" s="8">
        <f>'Motion Profile'!G16</f>
        <v>-1.4768003988</v>
      </c>
      <c r="D16" s="2">
        <v>270.37422226299998</v>
      </c>
      <c r="E16" s="2">
        <v>219.33959660599999</v>
      </c>
      <c r="F16" s="7">
        <v>9771.37327052</v>
      </c>
      <c r="H16" s="8">
        <f t="shared" si="0"/>
        <v>135.18711113149999</v>
      </c>
    </row>
    <row r="17" spans="2:8" x14ac:dyDescent="0.3">
      <c r="B17" s="1">
        <v>9.3333337999999995E-3</v>
      </c>
      <c r="C17" s="8">
        <f>'Motion Profile'!G17</f>
        <v>-2.4112004335999995</v>
      </c>
      <c r="D17" s="2">
        <v>143.13302324899999</v>
      </c>
      <c r="E17" s="2">
        <v>211.82393078000001</v>
      </c>
      <c r="F17" s="7">
        <v>9296.0407879300001</v>
      </c>
      <c r="H17" s="8">
        <f t="shared" si="0"/>
        <v>71.566511624499995</v>
      </c>
    </row>
    <row r="18" spans="2:8" x14ac:dyDescent="0.3">
      <c r="B18" s="1">
        <v>1.00000005E-2</v>
      </c>
      <c r="C18" s="8">
        <f>'Motion Profile'!G18</f>
        <v>-3.3200004647999997</v>
      </c>
      <c r="D18" s="2">
        <v>-31.445583565900002</v>
      </c>
      <c r="E18" s="2">
        <v>201.27212131499999</v>
      </c>
      <c r="F18" s="7">
        <v>8534.2730908800004</v>
      </c>
      <c r="H18" s="8">
        <f t="shared" si="0"/>
        <v>-15.722791782950001</v>
      </c>
    </row>
    <row r="19" spans="2:8" x14ac:dyDescent="0.3">
      <c r="B19" s="1">
        <v>1.06666672E-2</v>
      </c>
      <c r="C19" s="8">
        <f>'Motion Profile'!G19</f>
        <v>-4.2032004924000006</v>
      </c>
      <c r="D19" s="2">
        <v>-252.799747672</v>
      </c>
      <c r="E19" s="2">
        <v>189.34988444199999</v>
      </c>
      <c r="F19" s="7">
        <v>7631.6465646500001</v>
      </c>
      <c r="H19" s="8">
        <f t="shared" si="0"/>
        <v>-126.399873836</v>
      </c>
    </row>
    <row r="20" spans="2:8" x14ac:dyDescent="0.3">
      <c r="B20" s="1">
        <v>1.1333333900000001E-2</v>
      </c>
      <c r="C20" s="8">
        <f>'Motion Profile'!G20</f>
        <v>-5.0608005165000005</v>
      </c>
      <c r="D20" s="2">
        <v>-420.71086367100003</v>
      </c>
      <c r="E20" s="2">
        <v>166.824380722</v>
      </c>
      <c r="F20" s="7">
        <v>6351.4619968999996</v>
      </c>
      <c r="H20" s="8">
        <f t="shared" si="0"/>
        <v>-210.35543183550001</v>
      </c>
    </row>
    <row r="21" spans="2:8" x14ac:dyDescent="0.3">
      <c r="B21" s="1">
        <v>1.20000006E-2</v>
      </c>
      <c r="C21" s="8">
        <f>'Motion Profile'!G21</f>
        <v>-5.8928005369999994</v>
      </c>
      <c r="D21" s="2">
        <v>-437.233649937</v>
      </c>
      <c r="E21" s="2">
        <v>133.51389819900001</v>
      </c>
      <c r="F21" s="7">
        <v>4528.64722669</v>
      </c>
      <c r="H21" s="8">
        <f t="shared" si="0"/>
        <v>-218.6168249685</v>
      </c>
    </row>
    <row r="22" spans="2:8" x14ac:dyDescent="0.3">
      <c r="B22" s="1">
        <v>1.26666673E-2</v>
      </c>
      <c r="C22" s="8">
        <f>'Motion Profile'!G22</f>
        <v>-6.6960005327999994</v>
      </c>
      <c r="D22" s="2">
        <v>-280.06208153799997</v>
      </c>
      <c r="E22" s="2">
        <v>92.776678947999997</v>
      </c>
      <c r="F22" s="7">
        <v>2588.0299491400001</v>
      </c>
      <c r="H22" s="8">
        <f t="shared" si="0"/>
        <v>-140.03104076899999</v>
      </c>
    </row>
    <row r="23" spans="2:8" x14ac:dyDescent="0.3">
      <c r="B23" s="1">
        <v>1.3333334000000001E-2</v>
      </c>
      <c r="C23" s="8">
        <f>'Motion Profile'!G23</f>
        <v>-7.400000519999999</v>
      </c>
      <c r="D23" s="2">
        <v>-26.907012787700001</v>
      </c>
      <c r="E23" s="2">
        <v>51.8184944116</v>
      </c>
      <c r="F23" s="7">
        <v>1073.34775595</v>
      </c>
      <c r="H23" s="8">
        <f t="shared" si="0"/>
        <v>-13.453506393850001</v>
      </c>
    </row>
    <row r="24" spans="2:8" x14ac:dyDescent="0.3">
      <c r="B24" s="1">
        <v>1.4000000699999999E-2</v>
      </c>
      <c r="C24" s="8">
        <f>'Motion Profile'!G24</f>
        <v>-7.9760005967999987</v>
      </c>
      <c r="D24" s="2">
        <v>211.12372774400001</v>
      </c>
      <c r="E24" s="2">
        <v>20.511177252300001</v>
      </c>
      <c r="F24" s="7">
        <v>277.91487194600001</v>
      </c>
      <c r="H24" s="8">
        <f t="shared" si="0"/>
        <v>105.561863872</v>
      </c>
    </row>
    <row r="25" spans="2:8" x14ac:dyDescent="0.3">
      <c r="B25" s="1">
        <v>1.46666674E-2</v>
      </c>
      <c r="C25" s="8">
        <f>'Motion Profile'!G25</f>
        <v>-8.4240007631999987</v>
      </c>
      <c r="D25" s="2">
        <v>384.24985022200002</v>
      </c>
      <c r="E25" s="2">
        <v>1.06899878239</v>
      </c>
      <c r="F25" s="7">
        <v>29.585171612100002</v>
      </c>
      <c r="H25" s="8">
        <f t="shared" si="0"/>
        <v>192.12492511100001</v>
      </c>
    </row>
    <row r="26" spans="2:8" x14ac:dyDescent="0.3">
      <c r="B26" s="1">
        <v>1.53333341E-2</v>
      </c>
      <c r="C26" s="8">
        <f>'Motion Profile'!G26</f>
        <v>-8.7440010191999988</v>
      </c>
      <c r="D26" s="2">
        <v>487.43385124100001</v>
      </c>
      <c r="E26" s="2">
        <v>-8.5873153867400003</v>
      </c>
      <c r="F26" s="7">
        <v>4.3803276170499998</v>
      </c>
      <c r="H26" s="8">
        <f t="shared" si="0"/>
        <v>243.71692562050001</v>
      </c>
    </row>
    <row r="27" spans="2:8" x14ac:dyDescent="0.3">
      <c r="B27" s="1">
        <v>1.6000000800000001E-2</v>
      </c>
      <c r="C27" s="8">
        <f>'Motion Profile'!G27</f>
        <v>-8.9360013647999992</v>
      </c>
      <c r="D27" s="2">
        <v>538.07894044900002</v>
      </c>
      <c r="E27" s="2">
        <v>-10.7147210943</v>
      </c>
      <c r="F27" s="7">
        <v>18.7038615333</v>
      </c>
      <c r="H27" s="8">
        <f t="shared" si="0"/>
        <v>269.03947022450001</v>
      </c>
    </row>
    <row r="28" spans="2:8" x14ac:dyDescent="0.3">
      <c r="B28" s="1">
        <v>1.6666667499999999E-2</v>
      </c>
      <c r="C28" s="8">
        <f>'Motion Profile'!G28</f>
        <v>-9.0000017999999997</v>
      </c>
      <c r="D28" s="2">
        <v>551.01013584700002</v>
      </c>
      <c r="E28" s="2">
        <v>-7.4598290152600004</v>
      </c>
      <c r="F28" s="7">
        <v>16.692285625099998</v>
      </c>
      <c r="H28" s="8">
        <f t="shared" si="0"/>
        <v>275.50506792350001</v>
      </c>
    </row>
    <row r="29" spans="2:8" x14ac:dyDescent="0.3">
      <c r="B29" s="1">
        <v>1.7333334200000002E-2</v>
      </c>
      <c r="C29" s="8">
        <f>'Motion Profile'!G29</f>
        <v>-8.9104023197000011</v>
      </c>
      <c r="D29" s="2">
        <v>525.993000897</v>
      </c>
      <c r="E29" s="2">
        <v>1.6493014984899999E-2</v>
      </c>
      <c r="F29" s="7">
        <v>3.70175239232</v>
      </c>
      <c r="H29" s="8">
        <f t="shared" si="0"/>
        <v>262.9965004485</v>
      </c>
    </row>
    <row r="30" spans="2:8" x14ac:dyDescent="0.3">
      <c r="B30" s="1">
        <v>1.80000009E-2</v>
      </c>
      <c r="C30" s="8">
        <f>'Motion Profile'!G30</f>
        <v>-8.6416025346999987</v>
      </c>
      <c r="D30" s="2">
        <v>450.12747747999998</v>
      </c>
      <c r="E30" s="2">
        <v>9.1563937184400004</v>
      </c>
      <c r="F30" s="7">
        <v>5.5993889656900002</v>
      </c>
      <c r="H30" s="8">
        <f t="shared" si="0"/>
        <v>225.06373873999999</v>
      </c>
    </row>
    <row r="31" spans="2:8" x14ac:dyDescent="0.3">
      <c r="B31" s="1">
        <v>1.8666667599999999E-2</v>
      </c>
      <c r="C31" s="8">
        <f>'Motion Profile'!G31</f>
        <v>-8.1936024451000016</v>
      </c>
      <c r="D31" s="2">
        <v>296.81165013899999</v>
      </c>
      <c r="E31" s="2">
        <v>15.017772407700001</v>
      </c>
      <c r="F31" s="7">
        <v>29.792111396900001</v>
      </c>
      <c r="H31" s="8">
        <f t="shared" si="0"/>
        <v>148.4058250695</v>
      </c>
    </row>
    <row r="32" spans="2:8" x14ac:dyDescent="0.3">
      <c r="B32" s="1">
        <v>1.9333334300000001E-2</v>
      </c>
      <c r="C32" s="8">
        <f>'Motion Profile'!G32</f>
        <v>-7.566402050899999</v>
      </c>
      <c r="D32" s="2">
        <v>42.056101019899998</v>
      </c>
      <c r="E32" s="2">
        <v>12.5504491919</v>
      </c>
      <c r="F32" s="7">
        <v>38.101803505600003</v>
      </c>
      <c r="H32" s="8">
        <f t="shared" si="0"/>
        <v>21.028050509949999</v>
      </c>
    </row>
    <row r="33" spans="2:8" x14ac:dyDescent="0.3">
      <c r="B33" s="1">
        <v>2.0000001E-2</v>
      </c>
      <c r="C33" s="8">
        <f>'Motion Profile'!G33</f>
        <v>-6.7600013519999997</v>
      </c>
      <c r="D33" s="2">
        <v>-287.64757915299998</v>
      </c>
      <c r="E33" s="2">
        <v>-1.41242362327</v>
      </c>
      <c r="F33" s="7">
        <v>9.4521442992400004</v>
      </c>
      <c r="H33" s="8">
        <f t="shared" si="0"/>
        <v>-143.82378957649999</v>
      </c>
    </row>
    <row r="34" spans="2:8" x14ac:dyDescent="0.3">
      <c r="B34" s="1">
        <v>2.0666667699999999E-2</v>
      </c>
      <c r="C34" s="8">
        <f>'Motion Profile'!G34</f>
        <v>-5.7744003485000004</v>
      </c>
      <c r="D34" s="2">
        <v>-572.67070484099997</v>
      </c>
      <c r="E34" s="2">
        <v>-32.271253038499999</v>
      </c>
      <c r="F34" s="7">
        <v>72.600626220699993</v>
      </c>
      <c r="H34" s="8">
        <f t="shared" si="0"/>
        <v>-286.33535242049999</v>
      </c>
    </row>
    <row r="35" spans="2:8" x14ac:dyDescent="0.3">
      <c r="B35" s="1">
        <v>2.1333334400000001E-2</v>
      </c>
      <c r="C35" s="8">
        <f>'Motion Profile'!G35</f>
        <v>-4.6672001289999994</v>
      </c>
      <c r="D35" s="2">
        <v>-684.41004360500006</v>
      </c>
      <c r="E35" s="2">
        <v>-81.835864680599997</v>
      </c>
      <c r="F35" s="7">
        <v>691.96589449500004</v>
      </c>
      <c r="H35" s="8">
        <f t="shared" si="0"/>
        <v>-342.20502180250003</v>
      </c>
    </row>
    <row r="36" spans="2:8" x14ac:dyDescent="0.3">
      <c r="B36" s="1">
        <v>2.20000011E-2</v>
      </c>
      <c r="C36" s="8">
        <f>'Motion Profile'!G36</f>
        <v>-3.5792002186000005</v>
      </c>
      <c r="D36" s="2">
        <v>-631.46025714100006</v>
      </c>
      <c r="E36" s="2">
        <v>-135.68932487999999</v>
      </c>
      <c r="F36" s="7">
        <v>2414.1969909300001</v>
      </c>
      <c r="H36" s="8">
        <f t="shared" si="0"/>
        <v>-315.73012857050003</v>
      </c>
    </row>
    <row r="37" spans="2:8" x14ac:dyDescent="0.3">
      <c r="B37" s="1">
        <v>2.2666667800000002E-2</v>
      </c>
      <c r="C37" s="8">
        <f>'Motion Profile'!G37</f>
        <v>-2.5168002902000008</v>
      </c>
      <c r="D37" s="2">
        <v>-545.247739604</v>
      </c>
      <c r="E37" s="2">
        <v>-179.34803431700001</v>
      </c>
      <c r="F37" s="7">
        <v>4994.1949329899999</v>
      </c>
      <c r="H37" s="8">
        <f t="shared" si="0"/>
        <v>-272.623869802</v>
      </c>
    </row>
    <row r="38" spans="2:8" x14ac:dyDescent="0.3">
      <c r="B38" s="1">
        <v>2.33333345E-2</v>
      </c>
      <c r="C38" s="8">
        <f>'Motion Profile'!G38</f>
        <v>-1.4800003440000005</v>
      </c>
      <c r="D38" s="2">
        <v>-489.68655582000002</v>
      </c>
      <c r="E38" s="2">
        <v>-205.15910093400001</v>
      </c>
      <c r="F38" s="7">
        <v>7403.3903722699997</v>
      </c>
      <c r="H38" s="8">
        <f t="shared" si="0"/>
        <v>-244.84327791000001</v>
      </c>
    </row>
    <row r="39" spans="2:8" x14ac:dyDescent="0.3">
      <c r="B39" s="1">
        <v>2.4000001199999999E-2</v>
      </c>
      <c r="C39" s="8">
        <f>'Motion Profile'!G39</f>
        <v>-0.46880037983999934</v>
      </c>
      <c r="D39" s="2">
        <v>-441.624757488</v>
      </c>
      <c r="E39" s="2">
        <v>-218.22929382800001</v>
      </c>
      <c r="F39" s="7">
        <v>8965.7338066800003</v>
      </c>
      <c r="H39" s="8">
        <f t="shared" si="0"/>
        <v>-220.812378744</v>
      </c>
    </row>
    <row r="40" spans="2:8" x14ac:dyDescent="0.3">
      <c r="B40" s="1">
        <v>2.4666667900000001E-2</v>
      </c>
      <c r="C40" s="8">
        <f>'Motion Profile'!G40</f>
        <v>0.51679960224000077</v>
      </c>
      <c r="D40" s="2">
        <v>-368.74562420199999</v>
      </c>
      <c r="E40" s="2">
        <v>-222.15857021299999</v>
      </c>
      <c r="F40" s="7">
        <v>9697.3308599699994</v>
      </c>
      <c r="H40" s="8">
        <f t="shared" si="0"/>
        <v>-184.37281210099999</v>
      </c>
    </row>
    <row r="41" spans="2:8" x14ac:dyDescent="0.3">
      <c r="B41" s="1">
        <v>2.53333346E-2</v>
      </c>
      <c r="C41" s="8">
        <f>'Motion Profile'!G41</f>
        <v>1.4767996022399998</v>
      </c>
      <c r="D41" s="2">
        <v>-268.30241781199999</v>
      </c>
      <c r="E41" s="2">
        <v>-219.27674917300001</v>
      </c>
      <c r="F41" s="7">
        <v>9743.39547494</v>
      </c>
      <c r="H41" s="8">
        <f t="shared" si="0"/>
        <v>-134.15120890599999</v>
      </c>
    </row>
    <row r="42" spans="2:8" x14ac:dyDescent="0.3">
      <c r="B42" s="1">
        <v>2.6000001299999999E-2</v>
      </c>
      <c r="C42" s="8">
        <f>'Motion Profile'!G42</f>
        <v>2.4111996201599997</v>
      </c>
      <c r="D42" s="2">
        <v>-129.15989318300001</v>
      </c>
      <c r="E42" s="2">
        <v>-211.90539861799999</v>
      </c>
      <c r="F42" s="7">
        <v>9296.8078421600003</v>
      </c>
      <c r="H42" s="8">
        <f t="shared" si="0"/>
        <v>-64.579946591500004</v>
      </c>
    </row>
    <row r="43" spans="2:8" x14ac:dyDescent="0.3">
      <c r="B43" s="1">
        <v>2.6666668000000001E-2</v>
      </c>
      <c r="C43" s="8">
        <f>'Motion Profile'!G43</f>
        <v>3.3199996560000002</v>
      </c>
      <c r="D43" s="2">
        <v>57.772308793900002</v>
      </c>
      <c r="E43" s="2">
        <v>-201.90283232600001</v>
      </c>
      <c r="F43" s="7">
        <v>8563.5301220799993</v>
      </c>
      <c r="H43" s="8">
        <f t="shared" si="0"/>
        <v>28.886154396950001</v>
      </c>
    </row>
    <row r="44" spans="2:8" x14ac:dyDescent="0.3">
      <c r="B44" s="1">
        <v>2.73333347E-2</v>
      </c>
      <c r="C44" s="8">
        <f>'Motion Profile'!G44</f>
        <v>4.2031997097599998</v>
      </c>
      <c r="D44" s="2">
        <v>284.91110541799998</v>
      </c>
      <c r="E44" s="2">
        <v>-189.77968392700001</v>
      </c>
      <c r="F44" s="7">
        <v>7673.2091890499996</v>
      </c>
      <c r="H44" s="8">
        <f t="shared" si="0"/>
        <v>142.45555270899999</v>
      </c>
    </row>
    <row r="45" spans="2:8" x14ac:dyDescent="0.3">
      <c r="B45" s="1">
        <v>2.8000001399999998E-2</v>
      </c>
      <c r="C45" s="8">
        <f>'Motion Profile'!G45</f>
        <v>5.0607997814400001</v>
      </c>
      <c r="D45" s="2">
        <v>455.605227109</v>
      </c>
      <c r="E45" s="2">
        <v>-167.39097904900001</v>
      </c>
      <c r="F45" s="7">
        <v>6386.8983596400003</v>
      </c>
      <c r="H45" s="8">
        <f t="shared" si="0"/>
        <v>227.8026135545</v>
      </c>
    </row>
    <row r="46" spans="2:8" x14ac:dyDescent="0.3">
      <c r="B46" s="1">
        <v>2.8666668100000001E-2</v>
      </c>
      <c r="C46" s="8">
        <f>'Motion Profile'!G46</f>
        <v>5.8927998710399994</v>
      </c>
      <c r="D46" s="2">
        <v>476.82060198200003</v>
      </c>
      <c r="E46" s="2">
        <v>-132.29901555199999</v>
      </c>
      <c r="F46" s="7">
        <v>4511.2287415800001</v>
      </c>
      <c r="H46" s="8">
        <f t="shared" si="0"/>
        <v>238.41030099100001</v>
      </c>
    </row>
    <row r="47" spans="2:8" x14ac:dyDescent="0.3">
      <c r="B47" s="1">
        <v>2.9333334799999999E-2</v>
      </c>
      <c r="C47" s="8">
        <f>'Motion Profile'!G47</f>
        <v>6.6960000144</v>
      </c>
      <c r="D47" s="2">
        <v>309.87536620399999</v>
      </c>
      <c r="E47" s="2">
        <v>-91.075336318400005</v>
      </c>
      <c r="F47" s="7">
        <v>2523.1282491699999</v>
      </c>
      <c r="H47" s="8">
        <f t="shared" si="0"/>
        <v>154.93768310199999</v>
      </c>
    </row>
    <row r="48" spans="2:8" x14ac:dyDescent="0.3">
      <c r="B48" s="1">
        <v>3.0000001500000002E-2</v>
      </c>
      <c r="C48" s="8">
        <f>'Motion Profile'!G48</f>
        <v>7.3999995599999995</v>
      </c>
      <c r="D48" s="2">
        <v>56.155219302399999</v>
      </c>
      <c r="E48" s="2">
        <v>-54.985092066500002</v>
      </c>
      <c r="F48" s="7">
        <v>1088.3908658299999</v>
      </c>
      <c r="H48" s="8">
        <f t="shared" si="0"/>
        <v>28.0776096512</v>
      </c>
    </row>
    <row r="49" spans="2:8" x14ac:dyDescent="0.3">
      <c r="B49" s="1">
        <v>3.06666682E-2</v>
      </c>
      <c r="C49" s="8">
        <f>'Motion Profile'!G49</f>
        <v>7.9759979663799996</v>
      </c>
      <c r="D49" s="2">
        <v>-187.236483292</v>
      </c>
      <c r="E49" s="2">
        <v>-21.291958337299999</v>
      </c>
      <c r="F49" s="7">
        <v>309.82987525599998</v>
      </c>
      <c r="H49" s="8">
        <f t="shared" si="0"/>
        <v>-93.618241646000001</v>
      </c>
    </row>
    <row r="50" spans="2:8" x14ac:dyDescent="0.3">
      <c r="B50" s="1">
        <v>3.1333334900000002E-2</v>
      </c>
      <c r="C50" s="8">
        <f>'Motion Profile'!G50</f>
        <v>8.4239952335569992</v>
      </c>
      <c r="D50" s="2">
        <v>-356.56894874800003</v>
      </c>
      <c r="E50" s="2">
        <v>8.6757254342699999E-2</v>
      </c>
      <c r="F50" s="7">
        <v>30.100518987499999</v>
      </c>
      <c r="H50" s="8">
        <f t="shared" si="0"/>
        <v>-178.28447437400001</v>
      </c>
    </row>
    <row r="51" spans="2:8" x14ac:dyDescent="0.3">
      <c r="B51" s="1">
        <v>3.2000001600000001E-2</v>
      </c>
      <c r="C51" s="8">
        <f>'Motion Profile'!G51</f>
        <v>8.7439913615229994</v>
      </c>
      <c r="D51" s="2">
        <v>-456.87009926399998</v>
      </c>
      <c r="E51" s="2">
        <v>10.8034642779</v>
      </c>
      <c r="F51" s="7">
        <v>7.8439764081499996</v>
      </c>
      <c r="H51" s="8">
        <f t="shared" si="0"/>
        <v>-228.43504963199999</v>
      </c>
    </row>
    <row r="52" spans="2:8" x14ac:dyDescent="0.3">
      <c r="B52" s="1">
        <v>3.26666683E-2</v>
      </c>
      <c r="C52" s="8">
        <f>'Motion Profile'!G52</f>
        <v>8.9359863502780996</v>
      </c>
      <c r="D52" s="2">
        <v>-506.08162132199999</v>
      </c>
      <c r="E52" s="2">
        <v>13.159566823</v>
      </c>
      <c r="F52" s="7">
        <v>28.803863297100001</v>
      </c>
      <c r="H52" s="8">
        <f t="shared" si="0"/>
        <v>-253.04081066099999</v>
      </c>
    </row>
    <row r="53" spans="2:8" x14ac:dyDescent="0.3">
      <c r="B53" s="1">
        <v>3.3333334999999999E-2</v>
      </c>
      <c r="C53" s="8">
        <f>'Motion Profile'!G53</f>
        <v>8.99998019975307</v>
      </c>
      <c r="D53" s="2">
        <v>-384.77317450499999</v>
      </c>
      <c r="E53" s="2">
        <v>27.810711712900002</v>
      </c>
      <c r="F53" s="7">
        <v>87.505786941799997</v>
      </c>
      <c r="H53" s="8">
        <f t="shared" si="0"/>
        <v>-192.38658725249999</v>
      </c>
    </row>
    <row r="54" spans="2:8" x14ac:dyDescent="0.3">
      <c r="B54" s="1">
        <v>3.4000001699999997E-2</v>
      </c>
      <c r="C54" s="8">
        <f>'Motion Profile'!G54</f>
        <v>8.9103707899613998</v>
      </c>
      <c r="D54" s="1"/>
      <c r="E54" s="1"/>
    </row>
    <row r="55" spans="2:8" x14ac:dyDescent="0.3">
      <c r="B55" s="1">
        <v>3.4666668400000003E-2</v>
      </c>
      <c r="C55" s="8">
        <f>'Motion Profile'!G55</f>
        <v>8.6415613765860009</v>
      </c>
      <c r="D55" s="1"/>
      <c r="E55" s="1"/>
    </row>
    <row r="56" spans="2:8" x14ac:dyDescent="0.3">
      <c r="B56" s="1">
        <v>3.5333335100000002E-2</v>
      </c>
      <c r="C56" s="8">
        <f>'Motion Profile'!G56</f>
        <v>8.1935519596259994</v>
      </c>
      <c r="D56" s="1"/>
      <c r="E56" s="1"/>
    </row>
    <row r="57" spans="2:8" x14ac:dyDescent="0.3">
      <c r="B57" s="1">
        <v>3.60000018E-2</v>
      </c>
      <c r="C57" s="8">
        <f>'Motion Profile'!G57</f>
        <v>7.5663425390799999</v>
      </c>
      <c r="D57" s="1"/>
      <c r="E57" s="1"/>
    </row>
    <row r="58" spans="2:8" x14ac:dyDescent="0.3">
      <c r="B58" s="1">
        <v>3.6666668499999999E-2</v>
      </c>
      <c r="C58" s="8">
        <f>'Motion Profile'!G58</f>
        <v>6.7599331149499999</v>
      </c>
      <c r="D58" s="1"/>
      <c r="E58" s="1"/>
    </row>
    <row r="59" spans="2:8" x14ac:dyDescent="0.3">
      <c r="B59" s="1">
        <v>3.7333335199999998E-2</v>
      </c>
      <c r="C59" s="8">
        <f>'Motion Profile'!G59</f>
        <v>5.7743236872399999</v>
      </c>
      <c r="D59" s="1"/>
      <c r="E59" s="1"/>
    </row>
    <row r="60" spans="2:8" x14ac:dyDescent="0.3">
      <c r="B60" s="1">
        <v>3.8000001899999997E-2</v>
      </c>
      <c r="C60" s="8">
        <f>'Motion Profile'!G60</f>
        <v>4.6671222934400003</v>
      </c>
      <c r="D60" s="1"/>
      <c r="E60" s="1"/>
    </row>
    <row r="61" spans="2:8" x14ac:dyDescent="0.3">
      <c r="B61" s="1">
        <v>3.8666668600000002E-2</v>
      </c>
      <c r="C61" s="8">
        <f>'Motion Profile'!G61</f>
        <v>3.5791235811200002</v>
      </c>
      <c r="D61" s="1"/>
      <c r="E61" s="1"/>
    </row>
    <row r="62" spans="2:8" x14ac:dyDescent="0.3">
      <c r="B62" s="1">
        <v>3.9333335300000001E-2</v>
      </c>
      <c r="C62" s="8">
        <f>'Motion Profile'!G62</f>
        <v>2.5167248723900002</v>
      </c>
      <c r="D62" s="1"/>
      <c r="E62" s="1"/>
    </row>
    <row r="63" spans="2:8" x14ac:dyDescent="0.3">
      <c r="B63" s="1">
        <v>4.0000002E-2</v>
      </c>
      <c r="C63" s="8">
        <f>'Motion Profile'!G63</f>
        <v>1.4799261672400004</v>
      </c>
      <c r="D63" s="1"/>
      <c r="E63" s="1"/>
    </row>
    <row r="64" spans="2:8" x14ac:dyDescent="0.3">
      <c r="B64" s="1">
        <v>4.0666668699999999E-2</v>
      </c>
      <c r="C64" s="8">
        <f>'Motion Profile'!G64</f>
        <v>0.46872746566999979</v>
      </c>
      <c r="D64" s="1"/>
      <c r="E64" s="1"/>
    </row>
    <row r="65" spans="2:5" x14ac:dyDescent="0.3">
      <c r="B65" s="1">
        <v>4.1333335399999997E-2</v>
      </c>
      <c r="C65" s="8">
        <f>'Motion Profile'!G65</f>
        <v>-0.51687123231999976</v>
      </c>
      <c r="D65" s="1"/>
      <c r="E65" s="1"/>
    </row>
    <row r="66" spans="2:5" x14ac:dyDescent="0.3">
      <c r="B66" s="1">
        <v>4.2000002100000003E-2</v>
      </c>
      <c r="C66" s="8">
        <f>'Motion Profile'!G66</f>
        <v>-1.4768699266999992</v>
      </c>
      <c r="D66" s="1"/>
      <c r="E66" s="1"/>
    </row>
    <row r="67" spans="2:5" x14ac:dyDescent="0.3">
      <c r="B67" s="1">
        <v>4.2666668800000002E-2</v>
      </c>
      <c r="C67" s="8">
        <f>'Motion Profile'!G67</f>
        <v>-2.4112686174999993</v>
      </c>
      <c r="D67" s="1"/>
      <c r="E67" s="1"/>
    </row>
    <row r="68" spans="2:5" x14ac:dyDescent="0.3">
      <c r="B68" s="1">
        <v>4.33333355E-2</v>
      </c>
      <c r="C68" s="8">
        <f>'Motion Profile'!G68</f>
        <v>-3.3200673048000002</v>
      </c>
      <c r="D68" s="1"/>
      <c r="E68" s="1"/>
    </row>
    <row r="69" spans="2:5" x14ac:dyDescent="0.3">
      <c r="B69" s="1">
        <v>4.4000002199999999E-2</v>
      </c>
      <c r="C69" s="8">
        <f>'Motion Profile'!G69</f>
        <v>-4.2032659884000001</v>
      </c>
      <c r="D69" s="1"/>
      <c r="E69" s="1"/>
    </row>
    <row r="70" spans="2:5" x14ac:dyDescent="0.3">
      <c r="B70" s="1">
        <v>4.4666668899999998E-2</v>
      </c>
      <c r="C70" s="8">
        <f>'Motion Profile'!G70</f>
        <v>-5.0608646685000007</v>
      </c>
      <c r="D70" s="1"/>
      <c r="E70" s="1"/>
    </row>
    <row r="71" spans="2:5" x14ac:dyDescent="0.3">
      <c r="B71" s="1">
        <v>4.5333335600000003E-2</v>
      </c>
      <c r="C71" s="8">
        <f>'Motion Profile'!G71</f>
        <v>-5.8928633450000003</v>
      </c>
      <c r="D71" s="1"/>
      <c r="E71" s="1"/>
    </row>
    <row r="72" spans="2:5" x14ac:dyDescent="0.3">
      <c r="B72" s="1">
        <v>4.6000002300000002E-2</v>
      </c>
      <c r="C72" s="8">
        <f>'Motion Profile'!G72</f>
        <v>-6.6960606525999999</v>
      </c>
      <c r="D72" s="1"/>
      <c r="E72" s="1"/>
    </row>
    <row r="73" spans="2:5" x14ac:dyDescent="0.3">
      <c r="B73" s="1">
        <v>4.6666669000000001E-2</v>
      </c>
      <c r="C73" s="8">
        <f>'Motion Profile'!G73</f>
        <v>-7.4000539198000013</v>
      </c>
      <c r="D73" s="1"/>
      <c r="E73" s="1"/>
    </row>
    <row r="74" spans="2:5" x14ac:dyDescent="0.3">
      <c r="B74" s="1">
        <v>4.73333357E-2</v>
      </c>
      <c r="C74" s="8">
        <f>'Motion Profile'!G74</f>
        <v>-7.9760472765999992</v>
      </c>
      <c r="D74" s="1"/>
      <c r="E74" s="1"/>
    </row>
    <row r="75" spans="2:5" x14ac:dyDescent="0.3">
      <c r="B75" s="1">
        <v>4.8000002399999998E-2</v>
      </c>
      <c r="C75" s="8">
        <f>'Motion Profile'!G75</f>
        <v>-8.424040723000001</v>
      </c>
      <c r="D75" s="1"/>
      <c r="E75" s="1"/>
    </row>
    <row r="76" spans="2:5" x14ac:dyDescent="0.3">
      <c r="B76" s="1">
        <v>4.8666669099999997E-2</v>
      </c>
      <c r="C76" s="8">
        <f>'Motion Profile'!G76</f>
        <v>-8.7440342589999993</v>
      </c>
      <c r="D76" s="1"/>
      <c r="E76" s="1"/>
    </row>
    <row r="77" spans="2:5" x14ac:dyDescent="0.3">
      <c r="B77" s="1">
        <v>4.9333335800000003E-2</v>
      </c>
      <c r="C77" s="8">
        <f>'Motion Profile'!G77</f>
        <v>-8.9360278846000014</v>
      </c>
      <c r="D77" s="1"/>
      <c r="E77" s="1"/>
    </row>
    <row r="78" spans="2:5" x14ac:dyDescent="0.3">
      <c r="B78" s="1">
        <v>5.0000002500000001E-2</v>
      </c>
      <c r="C78" s="8">
        <f>'Motion Profile'!G78</f>
        <v>-9.0000215998000002</v>
      </c>
      <c r="D78" s="1"/>
      <c r="E78" s="1"/>
    </row>
    <row r="79" spans="2:5" x14ac:dyDescent="0.3">
      <c r="B79" s="1">
        <v>5.06666692E-2</v>
      </c>
      <c r="C79" s="8">
        <f>'Motion Profile'!G79</f>
        <v>-8.9104127115000011</v>
      </c>
      <c r="D79" s="1"/>
      <c r="E79" s="1"/>
    </row>
    <row r="80" spans="2:5" x14ac:dyDescent="0.3">
      <c r="B80" s="1">
        <v>5.1333335899999999E-2</v>
      </c>
      <c r="C80" s="8">
        <f>'Motion Profile'!G80</f>
        <v>-8.6416035184999984</v>
      </c>
      <c r="D80" s="1"/>
      <c r="E80" s="1"/>
    </row>
    <row r="81" spans="2:5" x14ac:dyDescent="0.3">
      <c r="B81" s="1">
        <v>5.2000002599999998E-2</v>
      </c>
      <c r="C81" s="8">
        <f>'Motion Profile'!G81</f>
        <v>-8.1935940209000009</v>
      </c>
      <c r="D81" s="1"/>
      <c r="E81" s="1"/>
    </row>
    <row r="82" spans="2:5" x14ac:dyDescent="0.3">
      <c r="B82" s="1">
        <v>5.2666669300000003E-2</v>
      </c>
      <c r="C82" s="8">
        <f>'Motion Profile'!G82</f>
        <v>-7.5663842185999997</v>
      </c>
      <c r="D82" s="1"/>
      <c r="E82" s="1"/>
    </row>
    <row r="83" spans="2:5" x14ac:dyDescent="0.3">
      <c r="B83" s="1">
        <v>5.3333336000000002E-2</v>
      </c>
      <c r="C83" s="8">
        <f>'Motion Profile'!G83</f>
        <v>-6.7599741117000001</v>
      </c>
      <c r="D83" s="1"/>
      <c r="E83" s="1"/>
    </row>
    <row r="84" spans="2:5" x14ac:dyDescent="0.3">
      <c r="B84" s="1">
        <v>5.4000002700000001E-2</v>
      </c>
      <c r="C84" s="8">
        <f>'Motion Profile'!G84</f>
        <v>-5.7743637002000003</v>
      </c>
      <c r="D84" s="1"/>
      <c r="E84" s="1"/>
    </row>
    <row r="85" spans="2:5" x14ac:dyDescent="0.3">
      <c r="B85" s="1">
        <v>5.4666669399999999E-2</v>
      </c>
      <c r="C85" s="8">
        <f>'Motion Profile'!G85</f>
        <v>-4.667162137</v>
      </c>
      <c r="D85" s="1"/>
      <c r="E85" s="1"/>
    </row>
    <row r="86" spans="2:5" x14ac:dyDescent="0.3">
      <c r="B86" s="1">
        <v>5.5333336099999998E-2</v>
      </c>
      <c r="C86" s="8">
        <f>'Motion Profile'!G86</f>
        <v>-3.5791635706000005</v>
      </c>
      <c r="D86" s="1"/>
      <c r="E86" s="1"/>
    </row>
    <row r="87" spans="2:5" x14ac:dyDescent="0.3">
      <c r="B87" s="1">
        <v>5.6000002799999997E-2</v>
      </c>
      <c r="C87" s="8">
        <f>'Motion Profile'!G87</f>
        <v>-2.5167649863000001</v>
      </c>
      <c r="D87" s="1"/>
      <c r="E87" s="1"/>
    </row>
    <row r="88" spans="2:5" x14ac:dyDescent="0.3">
      <c r="B88" s="1">
        <v>5.6666669500000003E-2</v>
      </c>
      <c r="C88" s="8">
        <f>'Motion Profile'!G88</f>
        <v>-1.4799663840000008</v>
      </c>
      <c r="D88" s="1"/>
      <c r="E88" s="1"/>
    </row>
    <row r="89" spans="2:5" x14ac:dyDescent="0.3">
      <c r="B89" s="1">
        <v>5.7333336200000001E-2</v>
      </c>
      <c r="C89" s="8">
        <f>'Motion Profile'!G89</f>
        <v>-0.46876776388000074</v>
      </c>
      <c r="D89" s="1"/>
      <c r="E89" s="1"/>
    </row>
    <row r="90" spans="2:5" x14ac:dyDescent="0.3">
      <c r="B90" s="1">
        <v>5.80000029E-2</v>
      </c>
      <c r="C90" s="8">
        <f>'Motion Profile'!G90</f>
        <v>0.51683087420000007</v>
      </c>
      <c r="D90" s="1"/>
      <c r="E90" s="1"/>
    </row>
    <row r="91" spans="2:5" x14ac:dyDescent="0.3">
      <c r="B91" s="1">
        <v>5.8666669599999999E-2</v>
      </c>
      <c r="C91" s="8">
        <f>'Motion Profile'!G91</f>
        <v>1.4768295301999999</v>
      </c>
      <c r="D91" s="1"/>
      <c r="E91" s="1"/>
    </row>
    <row r="92" spans="2:5" x14ac:dyDescent="0.3">
      <c r="B92" s="1">
        <v>5.9333336299999997E-2</v>
      </c>
      <c r="C92" s="8">
        <f>'Motion Profile'!G92</f>
        <v>2.4112282041200004</v>
      </c>
      <c r="D92" s="1"/>
      <c r="E92" s="1"/>
    </row>
    <row r="93" spans="2:5" x14ac:dyDescent="0.3">
      <c r="B93" s="1">
        <v>6.0000003000000003E-2</v>
      </c>
      <c r="C93" s="8">
        <f>'Motion Profile'!G93</f>
        <v>3.3200268959599999</v>
      </c>
      <c r="D93" s="1"/>
      <c r="E93" s="1"/>
    </row>
    <row r="94" spans="2:5" x14ac:dyDescent="0.3">
      <c r="B94" s="1">
        <v>6.0666669700000002E-2</v>
      </c>
      <c r="C94" s="8">
        <f>'Motion Profile'!G94</f>
        <v>4.2032256057300001</v>
      </c>
      <c r="D94" s="1"/>
      <c r="E94" s="1"/>
    </row>
    <row r="95" spans="2:5" x14ac:dyDescent="0.3">
      <c r="B95" s="1">
        <v>6.1333336400000001E-2</v>
      </c>
      <c r="C95" s="8">
        <f>'Motion Profile'!G95</f>
        <v>5.0608243334100003</v>
      </c>
      <c r="D95" s="1"/>
      <c r="E95" s="1"/>
    </row>
    <row r="96" spans="2:5" x14ac:dyDescent="0.3">
      <c r="B96" s="1">
        <v>6.2000003099999999E-2</v>
      </c>
      <c r="C96" s="8">
        <f>'Motion Profile'!G96</f>
        <v>5.8928230790100002</v>
      </c>
      <c r="D96" s="1"/>
      <c r="E96" s="1"/>
    </row>
    <row r="97" spans="2:5" x14ac:dyDescent="0.3">
      <c r="B97" s="1">
        <v>6.2666669800000005E-2</v>
      </c>
      <c r="C97" s="8">
        <f>'Motion Profile'!G97</f>
        <v>6.6960205342299997</v>
      </c>
      <c r="D97" s="1"/>
      <c r="E97" s="1"/>
    </row>
    <row r="98" spans="2:5" x14ac:dyDescent="0.3">
      <c r="B98" s="1">
        <v>6.3333336500000004E-2</v>
      </c>
      <c r="C98" s="8">
        <f>'Motion Profile'!G98</f>
        <v>7.40001335976</v>
      </c>
      <c r="D98" s="1"/>
      <c r="E98" s="1"/>
    </row>
    <row r="99" spans="2:5" x14ac:dyDescent="0.3">
      <c r="B99" s="1">
        <v>6.4000003200000002E-2</v>
      </c>
      <c r="C99" s="8">
        <f>'Motion Profile'!G99</f>
        <v>7.9760050460900001</v>
      </c>
      <c r="D99" s="1"/>
      <c r="E99" s="1"/>
    </row>
    <row r="100" spans="2:5" x14ac:dyDescent="0.3">
      <c r="B100" s="1">
        <v>6.4666669900000001E-2</v>
      </c>
      <c r="C100" s="8">
        <f>'Motion Profile'!G100</f>
        <v>8.4239955932059996</v>
      </c>
      <c r="D100" s="1"/>
      <c r="E100" s="1"/>
    </row>
    <row r="101" spans="2:5" x14ac:dyDescent="0.3">
      <c r="B101" s="1">
        <v>6.53333366E-2</v>
      </c>
      <c r="C101" s="8">
        <f>'Motion Profile'!G101</f>
        <v>8.7439850011119997</v>
      </c>
      <c r="D101" s="1"/>
      <c r="E101" s="1"/>
    </row>
    <row r="102" spans="2:5" x14ac:dyDescent="0.3">
      <c r="B102" s="1">
        <v>6.6000003299999999E-2</v>
      </c>
      <c r="C102" s="8">
        <f>'Motion Profile'!G102</f>
        <v>8.9359732698084002</v>
      </c>
      <c r="D102" s="1"/>
      <c r="E102" s="1"/>
    </row>
    <row r="103" spans="2:5" x14ac:dyDescent="0.3">
      <c r="B103" s="1">
        <v>6.6666669999999997E-2</v>
      </c>
      <c r="C103" s="8">
        <f>'Motion Profile'!G103</f>
        <v>8.9999603990122345</v>
      </c>
      <c r="D103" s="1"/>
      <c r="E103" s="1"/>
    </row>
  </sheetData>
  <mergeCells count="1">
    <mergeCell ref="D1:E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62229-7D2F-4F34-9776-94776B798C26}">
  <dimension ref="A1:H103"/>
  <sheetViews>
    <sheetView zoomScaleNormal="100" workbookViewId="0">
      <selection activeCell="H2" sqref="H2"/>
    </sheetView>
  </sheetViews>
  <sheetFormatPr defaultColWidth="8.6640625" defaultRowHeight="14.4" x14ac:dyDescent="0.3"/>
  <cols>
    <col min="3" max="3" width="12" bestFit="1" customWidth="1"/>
    <col min="4" max="4" width="12.6640625" bestFit="1" customWidth="1"/>
    <col min="5" max="5" width="11" bestFit="1" customWidth="1"/>
    <col min="6" max="6" width="12.21875" bestFit="1" customWidth="1"/>
    <col min="7" max="7" width="4.21875" customWidth="1"/>
    <col min="8" max="8" width="18.21875" bestFit="1" customWidth="1"/>
  </cols>
  <sheetData>
    <row r="1" spans="1:8" x14ac:dyDescent="0.3">
      <c r="A1" s="5"/>
      <c r="B1" s="5"/>
      <c r="C1" s="5"/>
      <c r="D1" s="6"/>
      <c r="E1" s="6"/>
      <c r="F1" s="5"/>
    </row>
    <row r="2" spans="1:8" x14ac:dyDescent="0.3">
      <c r="B2" s="1" t="s">
        <v>0</v>
      </c>
      <c r="C2" s="1" t="s">
        <v>7</v>
      </c>
      <c r="D2" s="1" t="s">
        <v>2</v>
      </c>
      <c r="E2" s="1" t="s">
        <v>4</v>
      </c>
      <c r="F2" s="4" t="s">
        <v>3</v>
      </c>
      <c r="H2" s="1" t="s">
        <v>11</v>
      </c>
    </row>
    <row r="3" spans="1:8" x14ac:dyDescent="0.3">
      <c r="B3" s="1">
        <v>0</v>
      </c>
      <c r="C3" s="8">
        <f>'Motion Profile'!G3</f>
        <v>9</v>
      </c>
      <c r="D3" s="2">
        <v>-512.66391463299999</v>
      </c>
      <c r="E3" s="2">
        <v>8.3073373922399993E-6</v>
      </c>
      <c r="F3" s="7">
        <v>1.15019757581E-11</v>
      </c>
      <c r="H3" s="8">
        <f>D3/2</f>
        <v>-256.3319573165</v>
      </c>
    </row>
    <row r="4" spans="1:8" x14ac:dyDescent="0.3">
      <c r="B4" s="1">
        <v>6.6666670000000003E-4</v>
      </c>
      <c r="C4" s="8">
        <f>'Motion Profile'!G4</f>
        <v>8.9103999982079998</v>
      </c>
      <c r="D4" s="2">
        <v>-489.37284704799998</v>
      </c>
      <c r="E4" s="2">
        <v>-2.43724211968</v>
      </c>
      <c r="F4" s="7">
        <v>0.99002148383400002</v>
      </c>
      <c r="H4" s="8">
        <f t="shared" ref="H4:H53" si="0">D4/2</f>
        <v>-244.68642352399999</v>
      </c>
    </row>
    <row r="5" spans="1:8" x14ac:dyDescent="0.3">
      <c r="B5" s="1">
        <v>1.3333334000000001E-3</v>
      </c>
      <c r="C5" s="8">
        <f>'Motion Profile'!G5</f>
        <v>8.6415999928319991</v>
      </c>
      <c r="D5" s="2">
        <v>-414.42186543299999</v>
      </c>
      <c r="E5" s="2">
        <v>-8.0555884541299996</v>
      </c>
      <c r="F5" s="7">
        <v>15.077678995199999</v>
      </c>
      <c r="H5" s="8">
        <f t="shared" si="0"/>
        <v>-207.2109327165</v>
      </c>
    </row>
    <row r="6" spans="1:8" x14ac:dyDescent="0.3">
      <c r="B6" s="1">
        <v>2.0000001000000001E-3</v>
      </c>
      <c r="C6" s="8">
        <f>'Motion Profile'!G6</f>
        <v>8.1935999838719997</v>
      </c>
      <c r="D6" s="2">
        <v>-267.11354248999999</v>
      </c>
      <c r="E6" s="2">
        <v>-12.937965822500001</v>
      </c>
      <c r="F6" s="7">
        <v>56.084398844500001</v>
      </c>
      <c r="H6" s="8">
        <f t="shared" si="0"/>
        <v>-133.55677124499999</v>
      </c>
    </row>
    <row r="7" spans="1:8" x14ac:dyDescent="0.3">
      <c r="B7" s="1">
        <v>2.6666668000000001E-3</v>
      </c>
      <c r="C7" s="8">
        <f>'Motion Profile'!G7</f>
        <v>7.5663999713300001</v>
      </c>
      <c r="D7" s="2">
        <v>-14.7061199075</v>
      </c>
      <c r="E7" s="2">
        <v>-12.8431266228</v>
      </c>
      <c r="F7" s="7">
        <v>83.083465728999997</v>
      </c>
      <c r="H7" s="8">
        <f t="shared" si="0"/>
        <v>-7.3530599537499999</v>
      </c>
    </row>
    <row r="8" spans="1:8" x14ac:dyDescent="0.3">
      <c r="B8" s="1">
        <v>3.3333335000000001E-3</v>
      </c>
      <c r="C8" s="8">
        <f>'Motion Profile'!G8</f>
        <v>6.7599999551999996</v>
      </c>
      <c r="D8" s="2">
        <v>314.98292510300001</v>
      </c>
      <c r="E8" s="2">
        <v>-2.2360968352000001</v>
      </c>
      <c r="F8" s="7">
        <v>33.110750883500003</v>
      </c>
      <c r="H8" s="8">
        <f t="shared" si="0"/>
        <v>157.49146255150001</v>
      </c>
    </row>
    <row r="9" spans="1:8" x14ac:dyDescent="0.3">
      <c r="B9" s="1">
        <v>4.0000002000000002E-3</v>
      </c>
      <c r="C9" s="8">
        <f>'Motion Profile'!G9</f>
        <v>5.77439993549</v>
      </c>
      <c r="D9" s="2">
        <v>616.68852512000001</v>
      </c>
      <c r="E9" s="2">
        <v>16.270613731200001</v>
      </c>
      <c r="F9" s="7">
        <v>38.891722062699998</v>
      </c>
      <c r="H9" s="8">
        <f t="shared" si="0"/>
        <v>308.34426256</v>
      </c>
    </row>
    <row r="10" spans="1:8" x14ac:dyDescent="0.3">
      <c r="B10" s="1">
        <v>4.6666668999999997E-3</v>
      </c>
      <c r="C10" s="8">
        <f>'Motion Profile'!G10</f>
        <v>4.6671998854099996</v>
      </c>
      <c r="D10" s="2">
        <v>761.43522031600003</v>
      </c>
      <c r="E10" s="2">
        <v>47.909284272900003</v>
      </c>
      <c r="F10" s="7">
        <v>556.59097487899999</v>
      </c>
      <c r="H10" s="8">
        <f t="shared" si="0"/>
        <v>380.71761015800001</v>
      </c>
    </row>
    <row r="11" spans="1:8" x14ac:dyDescent="0.3">
      <c r="B11" s="1">
        <v>5.3333336000000002E-3</v>
      </c>
      <c r="C11" s="8">
        <f>'Motion Profile'!G11</f>
        <v>3.5791998290900002</v>
      </c>
      <c r="D11" s="2">
        <v>784.97487018499999</v>
      </c>
      <c r="E11" s="2">
        <v>85.611164731200006</v>
      </c>
      <c r="F11" s="7">
        <v>2287.69011237</v>
      </c>
      <c r="H11" s="8">
        <f t="shared" si="0"/>
        <v>392.48743509249999</v>
      </c>
    </row>
    <row r="12" spans="1:8" x14ac:dyDescent="0.3">
      <c r="B12" s="1">
        <v>6.0000002999999998E-3</v>
      </c>
      <c r="C12" s="8">
        <f>'Motion Profile'!G12</f>
        <v>2.5167997763500001</v>
      </c>
      <c r="D12" s="2">
        <v>785.39541249599995</v>
      </c>
      <c r="E12" s="2">
        <v>121.776945513</v>
      </c>
      <c r="F12" s="7">
        <v>5430.7270213399997</v>
      </c>
      <c r="H12" s="8">
        <f t="shared" si="0"/>
        <v>392.69770624799997</v>
      </c>
    </row>
    <row r="13" spans="1:8" x14ac:dyDescent="0.3">
      <c r="B13" s="1">
        <v>6.6666670000000003E-3</v>
      </c>
      <c r="C13" s="8">
        <f>'Motion Profile'!G13</f>
        <v>1.4799997272000001</v>
      </c>
      <c r="D13" s="2">
        <v>803.69856746400001</v>
      </c>
      <c r="E13" s="2">
        <v>149.94133407699999</v>
      </c>
      <c r="F13" s="7">
        <v>9261.9042989400004</v>
      </c>
      <c r="H13" s="8">
        <f t="shared" si="0"/>
        <v>401.849283732</v>
      </c>
    </row>
    <row r="14" spans="1:8" x14ac:dyDescent="0.3">
      <c r="B14" s="1">
        <v>7.3333336999999998E-3</v>
      </c>
      <c r="C14" s="8">
        <f>'Motion Profile'!G14</f>
        <v>0.4687996816299993</v>
      </c>
      <c r="D14" s="2">
        <v>811.99341145799997</v>
      </c>
      <c r="E14" s="2">
        <v>170.02547890899999</v>
      </c>
      <c r="F14" s="7">
        <v>12814.1523796</v>
      </c>
      <c r="H14" s="8">
        <f t="shared" si="0"/>
        <v>405.99670572899998</v>
      </c>
    </row>
    <row r="15" spans="1:8" x14ac:dyDescent="0.3">
      <c r="B15" s="1">
        <v>8.0000004000000003E-3</v>
      </c>
      <c r="C15" s="8">
        <f>'Motion Profile'!G15</f>
        <v>-0.51680036035000043</v>
      </c>
      <c r="D15" s="2">
        <v>783.15360059299996</v>
      </c>
      <c r="E15" s="2">
        <v>182.65117818100001</v>
      </c>
      <c r="F15" s="7">
        <v>15554.245068800001</v>
      </c>
      <c r="H15" s="8">
        <f t="shared" si="0"/>
        <v>391.57680029649998</v>
      </c>
    </row>
    <row r="16" spans="1:8" x14ac:dyDescent="0.3">
      <c r="B16" s="1">
        <v>8.6666671000000008E-3</v>
      </c>
      <c r="C16" s="8">
        <f>'Motion Profile'!G16</f>
        <v>-1.4768003988</v>
      </c>
      <c r="D16" s="2">
        <v>709.75437792399998</v>
      </c>
      <c r="E16" s="2">
        <v>188.23722699499999</v>
      </c>
      <c r="F16" s="7">
        <v>17196.076301000001</v>
      </c>
      <c r="H16" s="8">
        <f t="shared" si="0"/>
        <v>354.87718896199999</v>
      </c>
    </row>
    <row r="17" spans="2:8" x14ac:dyDescent="0.3">
      <c r="B17" s="1">
        <v>9.3333337999999995E-3</v>
      </c>
      <c r="C17" s="8">
        <f>'Motion Profile'!G17</f>
        <v>-2.4112004335999995</v>
      </c>
      <c r="D17" s="2">
        <v>574.584490845</v>
      </c>
      <c r="E17" s="2">
        <v>187.79771838400001</v>
      </c>
      <c r="F17" s="7">
        <v>17675.293066900002</v>
      </c>
      <c r="H17" s="8">
        <f t="shared" si="0"/>
        <v>287.2922454225</v>
      </c>
    </row>
    <row r="18" spans="2:8" x14ac:dyDescent="0.3">
      <c r="B18" s="1">
        <v>1.00000005E-2</v>
      </c>
      <c r="C18" s="8">
        <f>'Motion Profile'!G18</f>
        <v>-3.3200004647999997</v>
      </c>
      <c r="D18" s="2">
        <v>378.07565199200002</v>
      </c>
      <c r="E18" s="2">
        <v>183.35539080199999</v>
      </c>
      <c r="F18" s="7">
        <v>17220.151068800002</v>
      </c>
      <c r="H18" s="8">
        <f t="shared" si="0"/>
        <v>189.03782599600001</v>
      </c>
    </row>
    <row r="19" spans="2:8" x14ac:dyDescent="0.3">
      <c r="B19" s="1">
        <v>1.06666672E-2</v>
      </c>
      <c r="C19" s="8">
        <f>'Motion Profile'!G19</f>
        <v>-4.2032004924000006</v>
      </c>
      <c r="D19" s="2">
        <v>125.742186625</v>
      </c>
      <c r="E19" s="2">
        <v>176.71036882300001</v>
      </c>
      <c r="F19" s="7">
        <v>16207.758753300001</v>
      </c>
      <c r="H19" s="8">
        <f t="shared" si="0"/>
        <v>62.871093312500001</v>
      </c>
    </row>
    <row r="20" spans="2:8" x14ac:dyDescent="0.3">
      <c r="B20" s="1">
        <v>1.1333333900000001E-2</v>
      </c>
      <c r="C20" s="8">
        <f>'Motion Profile'!G20</f>
        <v>-5.0608005165000005</v>
      </c>
      <c r="D20" s="2">
        <v>-122.650079218</v>
      </c>
      <c r="E20" s="2">
        <v>166.42850788999999</v>
      </c>
      <c r="F20" s="7">
        <v>14722.440949899999</v>
      </c>
      <c r="H20" s="8">
        <f t="shared" si="0"/>
        <v>-61.325039609000001</v>
      </c>
    </row>
    <row r="21" spans="2:8" x14ac:dyDescent="0.3">
      <c r="B21" s="1">
        <v>1.20000006E-2</v>
      </c>
      <c r="C21" s="8">
        <f>'Motion Profile'!G21</f>
        <v>-5.8928005369999994</v>
      </c>
      <c r="D21" s="2">
        <v>-245.56148622699999</v>
      </c>
      <c r="E21" s="2">
        <v>148.71786192299999</v>
      </c>
      <c r="F21" s="7">
        <v>12427.723758300001</v>
      </c>
      <c r="H21" s="8">
        <f t="shared" si="0"/>
        <v>-122.78074311349999</v>
      </c>
    </row>
    <row r="22" spans="2:8" x14ac:dyDescent="0.3">
      <c r="B22" s="1">
        <v>1.26666673E-2</v>
      </c>
      <c r="C22" s="8">
        <f>'Motion Profile'!G22</f>
        <v>-6.6960005327999994</v>
      </c>
      <c r="D22" s="2">
        <v>-195.31525094099999</v>
      </c>
      <c r="E22" s="2">
        <v>123.332582028</v>
      </c>
      <c r="F22" s="7">
        <v>9278.2810248900005</v>
      </c>
      <c r="H22" s="8">
        <f t="shared" si="0"/>
        <v>-97.657625470499994</v>
      </c>
    </row>
    <row r="23" spans="2:8" x14ac:dyDescent="0.3">
      <c r="B23" s="1">
        <v>1.3333334000000001E-2</v>
      </c>
      <c r="C23" s="8">
        <f>'Motion Profile'!G23</f>
        <v>-7.400000519999999</v>
      </c>
      <c r="D23" s="2">
        <v>-18.875694588399998</v>
      </c>
      <c r="E23" s="2">
        <v>92.263495412099999</v>
      </c>
      <c r="F23" s="7">
        <v>5850.4289152700003</v>
      </c>
      <c r="H23" s="8">
        <f t="shared" si="0"/>
        <v>-9.4378472941999991</v>
      </c>
    </row>
    <row r="24" spans="2:8" x14ac:dyDescent="0.3">
      <c r="B24" s="1">
        <v>1.4000000699999999E-2</v>
      </c>
      <c r="C24" s="8">
        <f>'Motion Profile'!G24</f>
        <v>-7.9760005967999987</v>
      </c>
      <c r="D24" s="2">
        <v>183.87220382000001</v>
      </c>
      <c r="E24" s="2">
        <v>61.478479279200002</v>
      </c>
      <c r="F24" s="7">
        <v>2994.0625651800001</v>
      </c>
      <c r="H24" s="8">
        <f t="shared" si="0"/>
        <v>91.936101910000005</v>
      </c>
    </row>
    <row r="25" spans="2:8" x14ac:dyDescent="0.3">
      <c r="B25" s="1">
        <v>1.46666674E-2</v>
      </c>
      <c r="C25" s="8">
        <f>'Motion Profile'!G25</f>
        <v>-8.4240007631999987</v>
      </c>
      <c r="D25" s="2">
        <v>350.428783877</v>
      </c>
      <c r="E25" s="2">
        <v>36.421985816999999</v>
      </c>
      <c r="F25" s="7">
        <v>1224.22212762</v>
      </c>
      <c r="H25" s="8">
        <f t="shared" si="0"/>
        <v>175.2143919385</v>
      </c>
    </row>
    <row r="26" spans="2:8" x14ac:dyDescent="0.3">
      <c r="B26" s="1">
        <v>1.53333341E-2</v>
      </c>
      <c r="C26" s="8">
        <f>'Motion Profile'!G26</f>
        <v>-8.7440010191999988</v>
      </c>
      <c r="D26" s="2">
        <v>459.68608396799999</v>
      </c>
      <c r="E26" s="2">
        <v>18.945800202200001</v>
      </c>
      <c r="F26" s="7">
        <v>395.92467706899998</v>
      </c>
      <c r="H26" s="8">
        <f t="shared" si="0"/>
        <v>229.843041984</v>
      </c>
    </row>
    <row r="27" spans="2:8" x14ac:dyDescent="0.3">
      <c r="B27" s="1">
        <v>1.6000000800000001E-2</v>
      </c>
      <c r="C27" s="8">
        <f>'Motion Profile'!G27</f>
        <v>-8.9360013647999992</v>
      </c>
      <c r="D27" s="2">
        <v>519.54376117100003</v>
      </c>
      <c r="E27" s="2">
        <v>8.6938426715099997</v>
      </c>
      <c r="F27" s="7">
        <v>99.873008657200003</v>
      </c>
      <c r="H27" s="8">
        <f t="shared" si="0"/>
        <v>259.77188058550001</v>
      </c>
    </row>
    <row r="28" spans="2:8" x14ac:dyDescent="0.3">
      <c r="B28" s="1">
        <v>1.6666667499999999E-2</v>
      </c>
      <c r="C28" s="8">
        <f>'Motion Profile'!G28</f>
        <v>-9.0000017999999997</v>
      </c>
      <c r="D28" s="2">
        <v>540.00704136299998</v>
      </c>
      <c r="E28" s="2">
        <v>4.3910396018700002</v>
      </c>
      <c r="F28" s="7">
        <v>22.1731894409</v>
      </c>
      <c r="H28" s="8">
        <f t="shared" si="0"/>
        <v>270.00352068149999</v>
      </c>
    </row>
    <row r="29" spans="2:8" x14ac:dyDescent="0.3">
      <c r="B29" s="1">
        <v>1.7333334200000002E-2</v>
      </c>
      <c r="C29" s="8">
        <f>'Motion Profile'!G29</f>
        <v>-8.9104023197000011</v>
      </c>
      <c r="D29" s="2">
        <v>519.01797204000002</v>
      </c>
      <c r="E29" s="2">
        <v>4.9928722097399998</v>
      </c>
      <c r="F29" s="7">
        <v>11.0223168813</v>
      </c>
      <c r="H29" s="8">
        <f t="shared" si="0"/>
        <v>259.50898602000001</v>
      </c>
    </row>
    <row r="30" spans="2:8" x14ac:dyDescent="0.3">
      <c r="B30" s="1">
        <v>1.80000009E-2</v>
      </c>
      <c r="C30" s="8">
        <f>'Motion Profile'!G30</f>
        <v>-8.6416025346999987</v>
      </c>
      <c r="D30" s="2">
        <v>444.47745326</v>
      </c>
      <c r="E30" s="2">
        <v>8.7042045170200009</v>
      </c>
      <c r="F30" s="7">
        <v>24.025155002999998</v>
      </c>
      <c r="H30" s="8">
        <f t="shared" si="0"/>
        <v>222.23872663</v>
      </c>
    </row>
    <row r="31" spans="2:8" x14ac:dyDescent="0.3">
      <c r="B31" s="1">
        <v>1.8666667599999999E-2</v>
      </c>
      <c r="C31" s="8">
        <f>'Motion Profile'!G31</f>
        <v>-8.1936024451000016</v>
      </c>
      <c r="D31" s="2">
        <v>292.71168151699999</v>
      </c>
      <c r="E31" s="2">
        <v>12.2174061642</v>
      </c>
      <c r="F31" s="7">
        <v>55.228498596199998</v>
      </c>
      <c r="H31" s="8">
        <f t="shared" si="0"/>
        <v>146.35584075849999</v>
      </c>
    </row>
    <row r="32" spans="2:8" x14ac:dyDescent="0.3">
      <c r="B32" s="1">
        <v>1.9333334300000001E-2</v>
      </c>
      <c r="C32" s="8">
        <f>'Motion Profile'!G32</f>
        <v>-7.566402050899999</v>
      </c>
      <c r="D32" s="2">
        <v>41.6637202776</v>
      </c>
      <c r="E32" s="2">
        <v>11.5811795305</v>
      </c>
      <c r="F32" s="7">
        <v>70.8134511473</v>
      </c>
      <c r="H32" s="8">
        <f t="shared" si="0"/>
        <v>20.8318601388</v>
      </c>
    </row>
    <row r="33" spans="2:8" x14ac:dyDescent="0.3">
      <c r="B33" s="1">
        <v>2.0000001E-2</v>
      </c>
      <c r="C33" s="8">
        <f>'Motion Profile'!G33</f>
        <v>-6.7600013519999997</v>
      </c>
      <c r="D33" s="2">
        <v>-284.97018157000002</v>
      </c>
      <c r="E33" s="2">
        <v>3.36343499532</v>
      </c>
      <c r="F33" s="7">
        <v>30.731493134099999</v>
      </c>
      <c r="H33" s="8">
        <f t="shared" si="0"/>
        <v>-142.48509078500001</v>
      </c>
    </row>
    <row r="34" spans="2:8" x14ac:dyDescent="0.3">
      <c r="B34" s="1">
        <v>2.0666667699999999E-2</v>
      </c>
      <c r="C34" s="8">
        <f>'Motion Profile'!G34</f>
        <v>-5.7744003485000004</v>
      </c>
      <c r="D34" s="2">
        <v>-578.14663849299995</v>
      </c>
      <c r="E34" s="2">
        <v>-16.170381562999999</v>
      </c>
      <c r="F34" s="7">
        <v>36.400984604199998</v>
      </c>
      <c r="H34" s="8">
        <f t="shared" si="0"/>
        <v>-289.07331924649998</v>
      </c>
    </row>
    <row r="35" spans="2:8" x14ac:dyDescent="0.3">
      <c r="B35" s="1">
        <v>2.1333334400000001E-2</v>
      </c>
      <c r="C35" s="8">
        <f>'Motion Profile'!G35</f>
        <v>-4.6672001289999994</v>
      </c>
      <c r="D35" s="2">
        <v>-729.15375077099998</v>
      </c>
      <c r="E35" s="2">
        <v>-48.317322494999999</v>
      </c>
      <c r="F35" s="7">
        <v>562.89240563800001</v>
      </c>
      <c r="H35" s="8">
        <f t="shared" si="0"/>
        <v>-364.57687538549999</v>
      </c>
    </row>
    <row r="36" spans="2:8" x14ac:dyDescent="0.3">
      <c r="B36" s="1">
        <v>2.20000011E-2</v>
      </c>
      <c r="C36" s="8">
        <f>'Motion Profile'!G36</f>
        <v>-3.5792002186000005</v>
      </c>
      <c r="D36" s="2">
        <v>-754.96736251599998</v>
      </c>
      <c r="E36" s="2">
        <v>-85.948378517600005</v>
      </c>
      <c r="F36" s="7">
        <v>2312.4138242700001</v>
      </c>
      <c r="H36" s="8">
        <f t="shared" si="0"/>
        <v>-377.48368125799999</v>
      </c>
    </row>
    <row r="37" spans="2:8" x14ac:dyDescent="0.3">
      <c r="B37" s="1">
        <v>2.2666667800000002E-2</v>
      </c>
      <c r="C37" s="8">
        <f>'Motion Profile'!G37</f>
        <v>-2.5168002902000008</v>
      </c>
      <c r="D37" s="2">
        <v>-764.45982821200005</v>
      </c>
      <c r="E37" s="2">
        <v>-121.841121769</v>
      </c>
      <c r="F37" s="7">
        <v>5450.73826276</v>
      </c>
      <c r="H37" s="8">
        <f t="shared" si="0"/>
        <v>-382.22991410600002</v>
      </c>
    </row>
    <row r="38" spans="2:8" x14ac:dyDescent="0.3">
      <c r="B38" s="1">
        <v>2.33333345E-2</v>
      </c>
      <c r="C38" s="8">
        <f>'Motion Profile'!G38</f>
        <v>-1.4800003440000005</v>
      </c>
      <c r="D38" s="2">
        <v>-796.45001804000003</v>
      </c>
      <c r="E38" s="2">
        <v>-149.88071603</v>
      </c>
      <c r="F38" s="7">
        <v>9261.8537606999998</v>
      </c>
      <c r="H38" s="8">
        <f t="shared" si="0"/>
        <v>-398.22500902000002</v>
      </c>
    </row>
    <row r="39" spans="2:8" x14ac:dyDescent="0.3">
      <c r="B39" s="1">
        <v>2.4000001199999999E-2</v>
      </c>
      <c r="C39" s="8">
        <f>'Motion Profile'!G39</f>
        <v>-0.46880037983999934</v>
      </c>
      <c r="D39" s="2">
        <v>-819.74036099</v>
      </c>
      <c r="E39" s="2">
        <v>-169.47022752000001</v>
      </c>
      <c r="F39" s="7">
        <v>12764.117683300001</v>
      </c>
      <c r="H39" s="8">
        <f t="shared" si="0"/>
        <v>-409.870180495</v>
      </c>
    </row>
    <row r="40" spans="2:8" x14ac:dyDescent="0.3">
      <c r="B40" s="1">
        <v>2.4666667900000001E-2</v>
      </c>
      <c r="C40" s="8">
        <f>'Motion Profile'!G40</f>
        <v>0.51679960224000077</v>
      </c>
      <c r="D40" s="2">
        <v>-791.90431848100002</v>
      </c>
      <c r="E40" s="2">
        <v>-182.012038883</v>
      </c>
      <c r="F40" s="7">
        <v>15449.026992499999</v>
      </c>
      <c r="H40" s="8">
        <f t="shared" si="0"/>
        <v>-395.95215924050001</v>
      </c>
    </row>
    <row r="41" spans="2:8" x14ac:dyDescent="0.3">
      <c r="B41" s="1">
        <v>2.53333346E-2</v>
      </c>
      <c r="C41" s="8">
        <f>'Motion Profile'!G41</f>
        <v>1.4767996022399998</v>
      </c>
      <c r="D41" s="2">
        <v>-707.30910810800003</v>
      </c>
      <c r="E41" s="2">
        <v>-187.76699759100001</v>
      </c>
      <c r="F41" s="7">
        <v>17093.446958199998</v>
      </c>
      <c r="H41" s="8">
        <f t="shared" si="0"/>
        <v>-353.65455405400002</v>
      </c>
    </row>
    <row r="42" spans="2:8" x14ac:dyDescent="0.3">
      <c r="B42" s="1">
        <v>2.6000001299999999E-2</v>
      </c>
      <c r="C42" s="8">
        <f>'Motion Profile'!G42</f>
        <v>2.4111996201599997</v>
      </c>
      <c r="D42" s="2">
        <v>-562.08062229699999</v>
      </c>
      <c r="E42" s="2">
        <v>-187.43293643800001</v>
      </c>
      <c r="F42" s="7">
        <v>17596.8784619</v>
      </c>
      <c r="H42" s="8">
        <f t="shared" si="0"/>
        <v>-281.0403111485</v>
      </c>
    </row>
    <row r="43" spans="2:8" x14ac:dyDescent="0.3">
      <c r="B43" s="1">
        <v>2.6666668000000001E-2</v>
      </c>
      <c r="C43" s="8">
        <f>'Motion Profile'!G43</f>
        <v>3.3199996560000002</v>
      </c>
      <c r="D43" s="2">
        <v>-353.78853709399999</v>
      </c>
      <c r="E43" s="2">
        <v>-183.43436189900001</v>
      </c>
      <c r="F43" s="7">
        <v>17193.485313599998</v>
      </c>
      <c r="H43" s="8">
        <f t="shared" si="0"/>
        <v>-176.894268547</v>
      </c>
    </row>
    <row r="44" spans="2:8" x14ac:dyDescent="0.3">
      <c r="B44" s="1">
        <v>2.73333347E-2</v>
      </c>
      <c r="C44" s="8">
        <f>'Motion Profile'!G44</f>
        <v>4.2031997097599998</v>
      </c>
      <c r="D44" s="2">
        <v>-95.384464599099999</v>
      </c>
      <c r="E44" s="2">
        <v>-176.77435834600001</v>
      </c>
      <c r="F44" s="7">
        <v>16220.6384196</v>
      </c>
      <c r="H44" s="8">
        <f t="shared" si="0"/>
        <v>-47.69223229955</v>
      </c>
    </row>
    <row r="45" spans="2:8" x14ac:dyDescent="0.3">
      <c r="B45" s="1">
        <v>2.8000001399999998E-2</v>
      </c>
      <c r="C45" s="8">
        <f>'Motion Profile'!G45</f>
        <v>5.0607997814400001</v>
      </c>
      <c r="D45" s="2">
        <v>157.32112667999999</v>
      </c>
      <c r="E45" s="2">
        <v>-166.880746867</v>
      </c>
      <c r="F45" s="7">
        <v>14766.432398499999</v>
      </c>
      <c r="H45" s="8">
        <f t="shared" si="0"/>
        <v>78.660563339999996</v>
      </c>
    </row>
    <row r="46" spans="2:8" x14ac:dyDescent="0.3">
      <c r="B46" s="1">
        <v>2.8666668100000001E-2</v>
      </c>
      <c r="C46" s="8">
        <f>'Motion Profile'!G46</f>
        <v>5.8927998710399994</v>
      </c>
      <c r="D46" s="2">
        <v>287.75283613800002</v>
      </c>
      <c r="E46" s="2">
        <v>-148.16968065500001</v>
      </c>
      <c r="F46" s="7">
        <v>12421.6841518</v>
      </c>
      <c r="H46" s="8">
        <f t="shared" si="0"/>
        <v>143.87641806900001</v>
      </c>
    </row>
    <row r="47" spans="2:8" x14ac:dyDescent="0.3">
      <c r="B47" s="1">
        <v>2.9333334799999999E-2</v>
      </c>
      <c r="C47" s="8">
        <f>'Motion Profile'!G47</f>
        <v>6.6960000144</v>
      </c>
      <c r="D47" s="2">
        <v>226.658986712</v>
      </c>
      <c r="E47" s="2">
        <v>-122.237307411</v>
      </c>
      <c r="F47" s="7">
        <v>9168.0127319500007</v>
      </c>
      <c r="H47" s="8">
        <f t="shared" si="0"/>
        <v>113.329493356</v>
      </c>
    </row>
    <row r="48" spans="2:8" x14ac:dyDescent="0.3">
      <c r="B48" s="1">
        <v>3.0000001500000002E-2</v>
      </c>
      <c r="C48" s="8">
        <f>'Motion Profile'!G48</f>
        <v>7.3999995599999995</v>
      </c>
      <c r="D48" s="2">
        <v>46.6662249213</v>
      </c>
      <c r="E48" s="2">
        <v>-94.415561617799995</v>
      </c>
      <c r="F48" s="7">
        <v>5899.5602714099996</v>
      </c>
      <c r="H48" s="8">
        <f t="shared" si="0"/>
        <v>23.33311246065</v>
      </c>
    </row>
    <row r="49" spans="2:8" x14ac:dyDescent="0.3">
      <c r="B49" s="1">
        <v>3.06666682E-2</v>
      </c>
      <c r="C49" s="8">
        <f>'Motion Profile'!G49</f>
        <v>7.9759979663799996</v>
      </c>
      <c r="D49" s="2">
        <v>-159.45322972700001</v>
      </c>
      <c r="E49" s="2">
        <v>-62.477664198399999</v>
      </c>
      <c r="F49" s="7">
        <v>3119.4367588599998</v>
      </c>
      <c r="H49" s="8">
        <f t="shared" si="0"/>
        <v>-79.726614863500004</v>
      </c>
    </row>
    <row r="50" spans="2:8" x14ac:dyDescent="0.3">
      <c r="B50" s="1">
        <v>3.1333334900000002E-2</v>
      </c>
      <c r="C50" s="8">
        <f>'Motion Profile'!G50</f>
        <v>8.4239952335569992</v>
      </c>
      <c r="D50" s="2">
        <v>-322.24650826700002</v>
      </c>
      <c r="E50" s="2">
        <v>-36.075409669999999</v>
      </c>
      <c r="F50" s="7">
        <v>1243.13350629</v>
      </c>
      <c r="H50" s="8">
        <f t="shared" si="0"/>
        <v>-161.12325413350001</v>
      </c>
    </row>
    <row r="51" spans="2:8" x14ac:dyDescent="0.3">
      <c r="B51" s="1">
        <v>3.2000001600000001E-2</v>
      </c>
      <c r="C51" s="8">
        <f>'Motion Profile'!G51</f>
        <v>8.7439913615229994</v>
      </c>
      <c r="D51" s="2">
        <v>-429.32076482000002</v>
      </c>
      <c r="E51" s="2">
        <v>-17.710870029799999</v>
      </c>
      <c r="F51" s="7">
        <v>375.67283200100002</v>
      </c>
      <c r="H51" s="8">
        <f t="shared" si="0"/>
        <v>-214.66038241000001</v>
      </c>
    </row>
    <row r="52" spans="2:8" x14ac:dyDescent="0.3">
      <c r="B52" s="1">
        <v>3.26666683E-2</v>
      </c>
      <c r="C52" s="8">
        <f>'Motion Profile'!G52</f>
        <v>8.9359863502780996</v>
      </c>
      <c r="D52" s="2">
        <v>-488.44130244799999</v>
      </c>
      <c r="E52" s="2">
        <v>-7.0701846491799998</v>
      </c>
      <c r="F52" s="7">
        <v>81.480258265399996</v>
      </c>
      <c r="H52" s="8">
        <f t="shared" si="0"/>
        <v>-244.22065122399999</v>
      </c>
    </row>
    <row r="53" spans="2:8" x14ac:dyDescent="0.3">
      <c r="B53" s="1">
        <v>3.3333334999999999E-2</v>
      </c>
      <c r="C53" s="8">
        <f>'Motion Profile'!G53</f>
        <v>8.99998019975307</v>
      </c>
      <c r="D53" s="2">
        <v>-431.50597949100001</v>
      </c>
      <c r="E53" s="2">
        <v>3.6112069797099999</v>
      </c>
      <c r="F53" s="7">
        <v>6.2494044451399997</v>
      </c>
      <c r="H53" s="8">
        <f t="shared" si="0"/>
        <v>-215.7529897455</v>
      </c>
    </row>
    <row r="54" spans="2:8" x14ac:dyDescent="0.3">
      <c r="B54" s="1">
        <v>3.4000001699999997E-2</v>
      </c>
      <c r="C54" s="8">
        <f>'Motion Profile'!G54</f>
        <v>8.9103707899613998</v>
      </c>
      <c r="D54" s="1"/>
      <c r="E54" s="1"/>
    </row>
    <row r="55" spans="2:8" x14ac:dyDescent="0.3">
      <c r="B55" s="1">
        <v>3.4666668400000003E-2</v>
      </c>
      <c r="C55" s="8">
        <f>'Motion Profile'!G55</f>
        <v>8.6415613765860009</v>
      </c>
      <c r="D55" s="1"/>
      <c r="E55" s="1"/>
    </row>
    <row r="56" spans="2:8" x14ac:dyDescent="0.3">
      <c r="B56" s="1">
        <v>3.5333335100000002E-2</v>
      </c>
      <c r="C56" s="8">
        <f>'Motion Profile'!G56</f>
        <v>8.1935519596259994</v>
      </c>
      <c r="D56" s="1"/>
      <c r="E56" s="1"/>
    </row>
    <row r="57" spans="2:8" x14ac:dyDescent="0.3">
      <c r="B57" s="1">
        <v>3.60000018E-2</v>
      </c>
      <c r="C57" s="8">
        <f>'Motion Profile'!G57</f>
        <v>7.5663425390799999</v>
      </c>
      <c r="D57" s="1"/>
      <c r="E57" s="1"/>
    </row>
    <row r="58" spans="2:8" x14ac:dyDescent="0.3">
      <c r="B58" s="1">
        <v>3.6666668499999999E-2</v>
      </c>
      <c r="C58" s="8">
        <f>'Motion Profile'!G58</f>
        <v>6.7599331149499999</v>
      </c>
      <c r="D58" s="1"/>
      <c r="E58" s="1"/>
    </row>
    <row r="59" spans="2:8" x14ac:dyDescent="0.3">
      <c r="B59" s="1">
        <v>3.7333335199999998E-2</v>
      </c>
      <c r="C59" s="8">
        <f>'Motion Profile'!G59</f>
        <v>5.7743236872399999</v>
      </c>
      <c r="D59" s="1"/>
      <c r="E59" s="1"/>
    </row>
    <row r="60" spans="2:8" x14ac:dyDescent="0.3">
      <c r="B60" s="1">
        <v>3.8000001899999997E-2</v>
      </c>
      <c r="C60" s="8">
        <f>'Motion Profile'!G60</f>
        <v>4.6671222934400003</v>
      </c>
      <c r="D60" s="1"/>
      <c r="E60" s="1"/>
    </row>
    <row r="61" spans="2:8" x14ac:dyDescent="0.3">
      <c r="B61" s="1">
        <v>3.8666668600000002E-2</v>
      </c>
      <c r="C61" s="8">
        <f>'Motion Profile'!G61</f>
        <v>3.5791235811200002</v>
      </c>
      <c r="D61" s="1"/>
      <c r="E61" s="1"/>
    </row>
    <row r="62" spans="2:8" x14ac:dyDescent="0.3">
      <c r="B62" s="1">
        <v>3.9333335300000001E-2</v>
      </c>
      <c r="C62" s="8">
        <f>'Motion Profile'!G62</f>
        <v>2.5167248723900002</v>
      </c>
      <c r="D62" s="1"/>
      <c r="E62" s="1"/>
    </row>
    <row r="63" spans="2:8" x14ac:dyDescent="0.3">
      <c r="B63" s="1">
        <v>4.0000002E-2</v>
      </c>
      <c r="C63" s="8">
        <f>'Motion Profile'!G63</f>
        <v>1.4799261672400004</v>
      </c>
      <c r="D63" s="1"/>
      <c r="E63" s="1"/>
    </row>
    <row r="64" spans="2:8" x14ac:dyDescent="0.3">
      <c r="B64" s="1">
        <v>4.0666668699999999E-2</v>
      </c>
      <c r="C64" s="8">
        <f>'Motion Profile'!G64</f>
        <v>0.46872746566999979</v>
      </c>
      <c r="D64" s="1"/>
      <c r="E64" s="1"/>
    </row>
    <row r="65" spans="2:5" x14ac:dyDescent="0.3">
      <c r="B65" s="1">
        <v>4.1333335399999997E-2</v>
      </c>
      <c r="C65" s="8">
        <f>'Motion Profile'!G65</f>
        <v>-0.51687123231999976</v>
      </c>
      <c r="D65" s="1"/>
      <c r="E65" s="1"/>
    </row>
    <row r="66" spans="2:5" x14ac:dyDescent="0.3">
      <c r="B66" s="1">
        <v>4.2000002100000003E-2</v>
      </c>
      <c r="C66" s="8">
        <f>'Motion Profile'!G66</f>
        <v>-1.4768699266999992</v>
      </c>
      <c r="D66" s="1"/>
      <c r="E66" s="1"/>
    </row>
    <row r="67" spans="2:5" x14ac:dyDescent="0.3">
      <c r="B67" s="1">
        <v>4.2666668800000002E-2</v>
      </c>
      <c r="C67" s="8">
        <f>'Motion Profile'!G67</f>
        <v>-2.4112686174999993</v>
      </c>
      <c r="D67" s="1"/>
      <c r="E67" s="1"/>
    </row>
    <row r="68" spans="2:5" x14ac:dyDescent="0.3">
      <c r="B68" s="1">
        <v>4.33333355E-2</v>
      </c>
      <c r="C68" s="8">
        <f>'Motion Profile'!G68</f>
        <v>-3.3200673048000002</v>
      </c>
      <c r="D68" s="1"/>
      <c r="E68" s="1"/>
    </row>
    <row r="69" spans="2:5" x14ac:dyDescent="0.3">
      <c r="B69" s="1">
        <v>4.4000002199999999E-2</v>
      </c>
      <c r="C69" s="8">
        <f>'Motion Profile'!G69</f>
        <v>-4.2032659884000001</v>
      </c>
      <c r="D69" s="1"/>
      <c r="E69" s="1"/>
    </row>
    <row r="70" spans="2:5" x14ac:dyDescent="0.3">
      <c r="B70" s="1">
        <v>4.4666668899999998E-2</v>
      </c>
      <c r="C70" s="8">
        <f>'Motion Profile'!G70</f>
        <v>-5.0608646685000007</v>
      </c>
      <c r="D70" s="1"/>
      <c r="E70" s="1"/>
    </row>
    <row r="71" spans="2:5" x14ac:dyDescent="0.3">
      <c r="B71" s="1">
        <v>4.5333335600000003E-2</v>
      </c>
      <c r="C71" s="8">
        <f>'Motion Profile'!G71</f>
        <v>-5.8928633450000003</v>
      </c>
      <c r="D71" s="1"/>
      <c r="E71" s="1"/>
    </row>
    <row r="72" spans="2:5" x14ac:dyDescent="0.3">
      <c r="B72" s="1">
        <v>4.6000002300000002E-2</v>
      </c>
      <c r="C72" s="8">
        <f>'Motion Profile'!G72</f>
        <v>-6.6960606525999999</v>
      </c>
      <c r="D72" s="1"/>
      <c r="E72" s="1"/>
    </row>
    <row r="73" spans="2:5" x14ac:dyDescent="0.3">
      <c r="B73" s="1">
        <v>4.6666669000000001E-2</v>
      </c>
      <c r="C73" s="8">
        <f>'Motion Profile'!G73</f>
        <v>-7.4000539198000013</v>
      </c>
      <c r="D73" s="1"/>
      <c r="E73" s="1"/>
    </row>
    <row r="74" spans="2:5" x14ac:dyDescent="0.3">
      <c r="B74" s="1">
        <v>4.73333357E-2</v>
      </c>
      <c r="C74" s="8">
        <f>'Motion Profile'!G74</f>
        <v>-7.9760472765999992</v>
      </c>
      <c r="D74" s="1"/>
      <c r="E74" s="1"/>
    </row>
    <row r="75" spans="2:5" x14ac:dyDescent="0.3">
      <c r="B75" s="1">
        <v>4.8000002399999998E-2</v>
      </c>
      <c r="C75" s="8">
        <f>'Motion Profile'!G75</f>
        <v>-8.424040723000001</v>
      </c>
      <c r="D75" s="1"/>
      <c r="E75" s="1"/>
    </row>
    <row r="76" spans="2:5" x14ac:dyDescent="0.3">
      <c r="B76" s="1">
        <v>4.8666669099999997E-2</v>
      </c>
      <c r="C76" s="8">
        <f>'Motion Profile'!G76</f>
        <v>-8.7440342589999993</v>
      </c>
      <c r="D76" s="1"/>
      <c r="E76" s="1"/>
    </row>
    <row r="77" spans="2:5" x14ac:dyDescent="0.3">
      <c r="B77" s="1">
        <v>4.9333335800000003E-2</v>
      </c>
      <c r="C77" s="8">
        <f>'Motion Profile'!G77</f>
        <v>-8.9360278846000014</v>
      </c>
      <c r="D77" s="1"/>
      <c r="E77" s="1"/>
    </row>
    <row r="78" spans="2:5" x14ac:dyDescent="0.3">
      <c r="B78" s="1">
        <v>5.0000002500000001E-2</v>
      </c>
      <c r="C78" s="8">
        <f>'Motion Profile'!G78</f>
        <v>-9.0000215998000002</v>
      </c>
      <c r="D78" s="1"/>
      <c r="E78" s="1"/>
    </row>
    <row r="79" spans="2:5" x14ac:dyDescent="0.3">
      <c r="B79" s="1">
        <v>5.06666692E-2</v>
      </c>
      <c r="C79" s="8">
        <f>'Motion Profile'!G79</f>
        <v>-8.9104127115000011</v>
      </c>
      <c r="D79" s="1"/>
      <c r="E79" s="1"/>
    </row>
    <row r="80" spans="2:5" x14ac:dyDescent="0.3">
      <c r="B80" s="1">
        <v>5.1333335899999999E-2</v>
      </c>
      <c r="C80" s="8">
        <f>'Motion Profile'!G80</f>
        <v>-8.6416035184999984</v>
      </c>
      <c r="D80" s="1"/>
      <c r="E80" s="1"/>
    </row>
    <row r="81" spans="2:5" x14ac:dyDescent="0.3">
      <c r="B81" s="1">
        <v>5.2000002599999998E-2</v>
      </c>
      <c r="C81" s="8">
        <f>'Motion Profile'!G81</f>
        <v>-8.1935940209000009</v>
      </c>
      <c r="D81" s="1"/>
      <c r="E81" s="1"/>
    </row>
    <row r="82" spans="2:5" x14ac:dyDescent="0.3">
      <c r="B82" s="1">
        <v>5.2666669300000003E-2</v>
      </c>
      <c r="C82" s="8">
        <f>'Motion Profile'!G82</f>
        <v>-7.5663842185999997</v>
      </c>
      <c r="D82" s="1"/>
      <c r="E82" s="1"/>
    </row>
    <row r="83" spans="2:5" x14ac:dyDescent="0.3">
      <c r="B83" s="1">
        <v>5.3333336000000002E-2</v>
      </c>
      <c r="C83" s="8">
        <f>'Motion Profile'!G83</f>
        <v>-6.7599741117000001</v>
      </c>
      <c r="D83" s="1"/>
      <c r="E83" s="1"/>
    </row>
    <row r="84" spans="2:5" x14ac:dyDescent="0.3">
      <c r="B84" s="1">
        <v>5.4000002700000001E-2</v>
      </c>
      <c r="C84" s="8">
        <f>'Motion Profile'!G84</f>
        <v>-5.7743637002000003</v>
      </c>
      <c r="D84" s="1"/>
      <c r="E84" s="1"/>
    </row>
    <row r="85" spans="2:5" x14ac:dyDescent="0.3">
      <c r="B85" s="1">
        <v>5.4666669399999999E-2</v>
      </c>
      <c r="C85" s="8">
        <f>'Motion Profile'!G85</f>
        <v>-4.667162137</v>
      </c>
      <c r="D85" s="1"/>
      <c r="E85" s="1"/>
    </row>
    <row r="86" spans="2:5" x14ac:dyDescent="0.3">
      <c r="B86" s="1">
        <v>5.5333336099999998E-2</v>
      </c>
      <c r="C86" s="8">
        <f>'Motion Profile'!G86</f>
        <v>-3.5791635706000005</v>
      </c>
      <c r="D86" s="1"/>
      <c r="E86" s="1"/>
    </row>
    <row r="87" spans="2:5" x14ac:dyDescent="0.3">
      <c r="B87" s="1">
        <v>5.6000002799999997E-2</v>
      </c>
      <c r="C87" s="8">
        <f>'Motion Profile'!G87</f>
        <v>-2.5167649863000001</v>
      </c>
      <c r="D87" s="1"/>
      <c r="E87" s="1"/>
    </row>
    <row r="88" spans="2:5" x14ac:dyDescent="0.3">
      <c r="B88" s="1">
        <v>5.6666669500000003E-2</v>
      </c>
      <c r="C88" s="8">
        <f>'Motion Profile'!G88</f>
        <v>-1.4799663840000008</v>
      </c>
      <c r="D88" s="1"/>
      <c r="E88" s="1"/>
    </row>
    <row r="89" spans="2:5" x14ac:dyDescent="0.3">
      <c r="B89" s="1">
        <v>5.7333336200000001E-2</v>
      </c>
      <c r="C89" s="8">
        <f>'Motion Profile'!G89</f>
        <v>-0.46876776388000074</v>
      </c>
      <c r="D89" s="1"/>
      <c r="E89" s="1"/>
    </row>
    <row r="90" spans="2:5" x14ac:dyDescent="0.3">
      <c r="B90" s="1">
        <v>5.80000029E-2</v>
      </c>
      <c r="C90" s="8">
        <f>'Motion Profile'!G90</f>
        <v>0.51683087420000007</v>
      </c>
      <c r="D90" s="1"/>
      <c r="E90" s="1"/>
    </row>
    <row r="91" spans="2:5" x14ac:dyDescent="0.3">
      <c r="B91" s="1">
        <v>5.8666669599999999E-2</v>
      </c>
      <c r="C91" s="8">
        <f>'Motion Profile'!G91</f>
        <v>1.4768295301999999</v>
      </c>
      <c r="D91" s="1"/>
      <c r="E91" s="1"/>
    </row>
    <row r="92" spans="2:5" x14ac:dyDescent="0.3">
      <c r="B92" s="1">
        <v>5.9333336299999997E-2</v>
      </c>
      <c r="C92" s="8">
        <f>'Motion Profile'!G92</f>
        <v>2.4112282041200004</v>
      </c>
      <c r="D92" s="1"/>
      <c r="E92" s="1"/>
    </row>
    <row r="93" spans="2:5" x14ac:dyDescent="0.3">
      <c r="B93" s="1">
        <v>6.0000003000000003E-2</v>
      </c>
      <c r="C93" s="8">
        <f>'Motion Profile'!G93</f>
        <v>3.3200268959599999</v>
      </c>
      <c r="D93" s="1"/>
      <c r="E93" s="1"/>
    </row>
    <row r="94" spans="2:5" x14ac:dyDescent="0.3">
      <c r="B94" s="1">
        <v>6.0666669700000002E-2</v>
      </c>
      <c r="C94" s="8">
        <f>'Motion Profile'!G94</f>
        <v>4.2032256057300001</v>
      </c>
      <c r="D94" s="1"/>
      <c r="E94" s="1"/>
    </row>
    <row r="95" spans="2:5" x14ac:dyDescent="0.3">
      <c r="B95" s="1">
        <v>6.1333336400000001E-2</v>
      </c>
      <c r="C95" s="8">
        <f>'Motion Profile'!G95</f>
        <v>5.0608243334100003</v>
      </c>
      <c r="D95" s="1"/>
      <c r="E95" s="1"/>
    </row>
    <row r="96" spans="2:5" x14ac:dyDescent="0.3">
      <c r="B96" s="1">
        <v>6.2000003099999999E-2</v>
      </c>
      <c r="C96" s="8">
        <f>'Motion Profile'!G96</f>
        <v>5.8928230790100002</v>
      </c>
      <c r="D96" s="1"/>
      <c r="E96" s="1"/>
    </row>
    <row r="97" spans="2:5" x14ac:dyDescent="0.3">
      <c r="B97" s="1">
        <v>6.2666669800000005E-2</v>
      </c>
      <c r="C97" s="8">
        <f>'Motion Profile'!G97</f>
        <v>6.6960205342299997</v>
      </c>
      <c r="D97" s="1"/>
      <c r="E97" s="1"/>
    </row>
    <row r="98" spans="2:5" x14ac:dyDescent="0.3">
      <c r="B98" s="1">
        <v>6.3333336500000004E-2</v>
      </c>
      <c r="C98" s="8">
        <f>'Motion Profile'!G98</f>
        <v>7.40001335976</v>
      </c>
      <c r="D98" s="1"/>
      <c r="E98" s="1"/>
    </row>
    <row r="99" spans="2:5" x14ac:dyDescent="0.3">
      <c r="B99" s="1">
        <v>6.4000003200000002E-2</v>
      </c>
      <c r="C99" s="8">
        <f>'Motion Profile'!G99</f>
        <v>7.9760050460900001</v>
      </c>
      <c r="D99" s="1"/>
      <c r="E99" s="1"/>
    </row>
    <row r="100" spans="2:5" x14ac:dyDescent="0.3">
      <c r="B100" s="1">
        <v>6.4666669900000001E-2</v>
      </c>
      <c r="C100" s="8">
        <f>'Motion Profile'!G100</f>
        <v>8.4239955932059996</v>
      </c>
      <c r="D100" s="1"/>
      <c r="E100" s="1"/>
    </row>
    <row r="101" spans="2:5" x14ac:dyDescent="0.3">
      <c r="B101" s="1">
        <v>6.53333366E-2</v>
      </c>
      <c r="C101" s="8">
        <f>'Motion Profile'!G101</f>
        <v>8.7439850011119997</v>
      </c>
      <c r="D101" s="1"/>
      <c r="E101" s="1"/>
    </row>
    <row r="102" spans="2:5" x14ac:dyDescent="0.3">
      <c r="B102" s="1">
        <v>6.6000003299999999E-2</v>
      </c>
      <c r="C102" s="8">
        <f>'Motion Profile'!G102</f>
        <v>8.9359732698084002</v>
      </c>
      <c r="D102" s="1"/>
      <c r="E102" s="1"/>
    </row>
    <row r="103" spans="2:5" x14ac:dyDescent="0.3">
      <c r="B103" s="1">
        <v>6.6666669999999997E-2</v>
      </c>
      <c r="C103" s="8">
        <f>'Motion Profile'!G103</f>
        <v>8.9999603990122345</v>
      </c>
      <c r="D103" s="1"/>
      <c r="E103" s="1"/>
    </row>
  </sheetData>
  <mergeCells count="1">
    <mergeCell ref="D1:E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4C455-9A8D-455D-B1AC-3C531E26C20E}">
  <dimension ref="A1:H103"/>
  <sheetViews>
    <sheetView tabSelected="1" zoomScaleNormal="100" workbookViewId="0">
      <selection activeCell="AB13" sqref="AB13"/>
    </sheetView>
  </sheetViews>
  <sheetFormatPr defaultColWidth="8.6640625" defaultRowHeight="14.4" x14ac:dyDescent="0.3"/>
  <cols>
    <col min="3" max="3" width="12" bestFit="1" customWidth="1"/>
    <col min="4" max="4" width="12.6640625" bestFit="1" customWidth="1"/>
    <col min="5" max="5" width="11" bestFit="1" customWidth="1"/>
    <col min="6" max="6" width="12.21875" bestFit="1" customWidth="1"/>
    <col min="7" max="7" width="2.77734375" customWidth="1"/>
    <col min="8" max="8" width="18.21875" bestFit="1" customWidth="1"/>
  </cols>
  <sheetData>
    <row r="1" spans="1:8" x14ac:dyDescent="0.3">
      <c r="A1" s="5"/>
      <c r="B1" s="5"/>
      <c r="C1" s="5"/>
      <c r="D1" s="6"/>
      <c r="E1" s="6"/>
      <c r="F1" s="5"/>
    </row>
    <row r="2" spans="1:8" x14ac:dyDescent="0.3">
      <c r="B2" s="1" t="s">
        <v>0</v>
      </c>
      <c r="C2" s="1" t="s">
        <v>7</v>
      </c>
      <c r="D2" s="1" t="s">
        <v>2</v>
      </c>
      <c r="E2" s="1" t="s">
        <v>4</v>
      </c>
      <c r="F2" s="4" t="s">
        <v>3</v>
      </c>
      <c r="H2" s="1" t="s">
        <v>11</v>
      </c>
    </row>
    <row r="3" spans="1:8" x14ac:dyDescent="0.3">
      <c r="B3" s="1">
        <v>0</v>
      </c>
      <c r="C3" s="8">
        <f>'Motion Profile'!G3</f>
        <v>9</v>
      </c>
      <c r="D3" s="2">
        <v>-512.664896043</v>
      </c>
      <c r="E3" s="2">
        <v>1.89050346065E-6</v>
      </c>
      <c r="F3" s="7">
        <v>1.1913344449099999E-12</v>
      </c>
      <c r="H3" s="8">
        <f>D3/2</f>
        <v>-256.3324480215</v>
      </c>
    </row>
    <row r="4" spans="1:8" x14ac:dyDescent="0.3">
      <c r="B4" s="1">
        <v>6.6666670000000003E-4</v>
      </c>
      <c r="C4" s="8">
        <f>'Motion Profile'!G4</f>
        <v>8.9103999982079998</v>
      </c>
      <c r="D4" s="2">
        <v>-488.778961213</v>
      </c>
      <c r="E4" s="2">
        <v>-1.42892565786</v>
      </c>
      <c r="F4" s="7">
        <v>0.68060861143999996</v>
      </c>
      <c r="H4" s="8">
        <f t="shared" ref="H4:H67" si="0">D4/2</f>
        <v>-244.3894806065</v>
      </c>
    </row>
    <row r="5" spans="1:8" x14ac:dyDescent="0.3">
      <c r="B5" s="1">
        <v>1.3333334000000001E-3</v>
      </c>
      <c r="C5" s="8">
        <f>'Motion Profile'!G5</f>
        <v>8.6415999928319991</v>
      </c>
      <c r="D5" s="2">
        <v>-412.41193856799998</v>
      </c>
      <c r="E5" s="2">
        <v>-4.9000931302800002</v>
      </c>
      <c r="F5" s="7">
        <v>11.018203340299999</v>
      </c>
      <c r="H5" s="8">
        <f t="shared" si="0"/>
        <v>-206.20596928399999</v>
      </c>
    </row>
    <row r="6" spans="1:8" x14ac:dyDescent="0.3">
      <c r="B6" s="1">
        <v>2.0000001000000001E-3</v>
      </c>
      <c r="C6" s="8">
        <f>'Motion Profile'!G6</f>
        <v>8.1935999838719997</v>
      </c>
      <c r="D6" s="2">
        <v>-264.54807571999999</v>
      </c>
      <c r="E6" s="2">
        <v>-8.3392264216300003</v>
      </c>
      <c r="F6" s="7">
        <v>44.805532032400002</v>
      </c>
      <c r="H6" s="8">
        <f t="shared" si="0"/>
        <v>-132.27403785999999</v>
      </c>
    </row>
    <row r="7" spans="1:8" x14ac:dyDescent="0.3">
      <c r="B7" s="1">
        <v>2.6666668000000001E-3</v>
      </c>
      <c r="C7" s="8">
        <f>'Motion Profile'!G7</f>
        <v>7.5663999713300001</v>
      </c>
      <c r="D7" s="2">
        <v>-14.407910019499999</v>
      </c>
      <c r="E7" s="2">
        <v>-9.1114478308100004</v>
      </c>
      <c r="F7" s="7">
        <v>76.181201791600003</v>
      </c>
      <c r="H7" s="8">
        <f t="shared" si="0"/>
        <v>-7.2039550097499996</v>
      </c>
    </row>
    <row r="8" spans="1:8" x14ac:dyDescent="0.3">
      <c r="B8" s="1">
        <v>3.3333335000000001E-3</v>
      </c>
      <c r="C8" s="8">
        <f>'Motion Profile'!G8</f>
        <v>6.7599999551999996</v>
      </c>
      <c r="D8" s="2">
        <v>311.878109817</v>
      </c>
      <c r="E8" s="2">
        <v>-3.3515524238299998</v>
      </c>
      <c r="F8" s="7">
        <v>41.596293428400003</v>
      </c>
      <c r="H8" s="8">
        <f t="shared" si="0"/>
        <v>155.9390549085</v>
      </c>
    </row>
    <row r="9" spans="1:8" x14ac:dyDescent="0.3">
      <c r="B9" s="1">
        <v>4.0000002000000002E-3</v>
      </c>
      <c r="C9" s="8">
        <f>'Motion Profile'!G9</f>
        <v>5.77439993549</v>
      </c>
      <c r="D9" s="2">
        <v>615.85756182600005</v>
      </c>
      <c r="E9" s="2">
        <v>7.88609831608</v>
      </c>
      <c r="F9" s="7">
        <v>15.6642594583</v>
      </c>
      <c r="H9" s="8">
        <f t="shared" si="0"/>
        <v>307.92878091300003</v>
      </c>
    </row>
    <row r="10" spans="1:8" x14ac:dyDescent="0.3">
      <c r="B10" s="1">
        <v>4.6666668999999997E-3</v>
      </c>
      <c r="C10" s="8">
        <f>'Motion Profile'!G10</f>
        <v>4.6671998854099996</v>
      </c>
      <c r="D10" s="2">
        <v>782.02812674799998</v>
      </c>
      <c r="E10" s="2">
        <v>27.6541701694</v>
      </c>
      <c r="F10" s="7">
        <v>348.34239307199999</v>
      </c>
      <c r="H10" s="8">
        <f t="shared" si="0"/>
        <v>391.01406337399999</v>
      </c>
    </row>
    <row r="11" spans="1:8" x14ac:dyDescent="0.3">
      <c r="B11" s="1">
        <v>5.3333336000000002E-3</v>
      </c>
      <c r="C11" s="8">
        <f>'Motion Profile'!G11</f>
        <v>3.5791998290900002</v>
      </c>
      <c r="D11" s="2">
        <v>856.72143134400005</v>
      </c>
      <c r="E11" s="2">
        <v>52.1924058305</v>
      </c>
      <c r="F11" s="7">
        <v>1644.04600884</v>
      </c>
      <c r="H11" s="8">
        <f t="shared" si="0"/>
        <v>428.36071567200003</v>
      </c>
    </row>
    <row r="12" spans="1:8" x14ac:dyDescent="0.3">
      <c r="B12" s="1">
        <v>6.0000002999999998E-3</v>
      </c>
      <c r="C12" s="8">
        <f>'Motion Profile'!G12</f>
        <v>2.5167997763500001</v>
      </c>
      <c r="D12" s="2">
        <v>930.66551239700004</v>
      </c>
      <c r="E12" s="2">
        <v>77.528215617300006</v>
      </c>
      <c r="F12" s="7">
        <v>4260.3518453300003</v>
      </c>
      <c r="H12" s="8">
        <f t="shared" si="0"/>
        <v>465.33275619850002</v>
      </c>
    </row>
    <row r="13" spans="1:8" x14ac:dyDescent="0.3">
      <c r="B13" s="1">
        <v>6.6666670000000003E-3</v>
      </c>
      <c r="C13" s="8">
        <f>'Motion Profile'!G13</f>
        <v>1.4799997272000001</v>
      </c>
      <c r="D13" s="2">
        <v>1028.6184671799999</v>
      </c>
      <c r="E13" s="2">
        <v>99.8235015777</v>
      </c>
      <c r="F13" s="7">
        <v>7904.8312126800001</v>
      </c>
      <c r="H13" s="8">
        <f t="shared" si="0"/>
        <v>514.30923358999996</v>
      </c>
    </row>
    <row r="14" spans="1:8" x14ac:dyDescent="0.3">
      <c r="B14" s="1">
        <v>7.3333336999999998E-3</v>
      </c>
      <c r="C14" s="8">
        <f>'Motion Profile'!G14</f>
        <v>0.4687996816299993</v>
      </c>
      <c r="D14" s="2">
        <v>1114.2807857400001</v>
      </c>
      <c r="E14" s="2">
        <v>117.823510046</v>
      </c>
      <c r="F14" s="7">
        <v>11869.5554426</v>
      </c>
      <c r="H14" s="8">
        <f t="shared" si="0"/>
        <v>557.14039287000003</v>
      </c>
    </row>
    <row r="15" spans="1:8" x14ac:dyDescent="0.3">
      <c r="B15" s="1">
        <v>8.0000004000000003E-3</v>
      </c>
      <c r="C15" s="8">
        <f>'Motion Profile'!G15</f>
        <v>-0.51680036035000043</v>
      </c>
      <c r="D15" s="2">
        <v>1148.2721272599999</v>
      </c>
      <c r="E15" s="2">
        <v>131.52154687199999</v>
      </c>
      <c r="F15" s="7">
        <v>15558.875703399999</v>
      </c>
      <c r="H15" s="8">
        <f t="shared" si="0"/>
        <v>574.13606362999997</v>
      </c>
    </row>
    <row r="16" spans="1:8" x14ac:dyDescent="0.3">
      <c r="B16" s="1">
        <v>8.6666671000000008E-3</v>
      </c>
      <c r="C16" s="8">
        <f>'Motion Profile'!G16</f>
        <v>-1.4768003988</v>
      </c>
      <c r="D16" s="2">
        <v>1112.66347518</v>
      </c>
      <c r="E16" s="2">
        <v>140.621597006</v>
      </c>
      <c r="F16" s="7">
        <v>18522.373599400002</v>
      </c>
      <c r="H16" s="8">
        <f t="shared" si="0"/>
        <v>556.33173758999999</v>
      </c>
    </row>
    <row r="17" spans="2:8" x14ac:dyDescent="0.3">
      <c r="B17" s="1">
        <v>9.3333337999999995E-3</v>
      </c>
      <c r="C17" s="8">
        <f>'Motion Profile'!G17</f>
        <v>-2.4112004335999995</v>
      </c>
      <c r="D17" s="2">
        <v>989.08670208299998</v>
      </c>
      <c r="E17" s="2">
        <v>145.18574136399999</v>
      </c>
      <c r="F17" s="7">
        <v>20423.1946178</v>
      </c>
      <c r="H17" s="8">
        <f t="shared" si="0"/>
        <v>494.54335104149999</v>
      </c>
    </row>
    <row r="18" spans="2:8" x14ac:dyDescent="0.3">
      <c r="B18" s="1">
        <v>1.00000005E-2</v>
      </c>
      <c r="C18" s="8">
        <f>'Motion Profile'!G18</f>
        <v>-3.3200004647999997</v>
      </c>
      <c r="D18" s="2">
        <v>788.47905855399995</v>
      </c>
      <c r="E18" s="2">
        <v>145.700188682</v>
      </c>
      <c r="F18" s="7">
        <v>21153.678129399999</v>
      </c>
      <c r="H18" s="8">
        <f t="shared" si="0"/>
        <v>394.23952927699997</v>
      </c>
    </row>
    <row r="19" spans="2:8" x14ac:dyDescent="0.3">
      <c r="B19" s="1">
        <v>1.06666672E-2</v>
      </c>
      <c r="C19" s="8">
        <f>'Motion Profile'!G19</f>
        <v>-4.2032004924000006</v>
      </c>
      <c r="D19" s="2">
        <v>524.43379054900004</v>
      </c>
      <c r="E19" s="2">
        <v>143.94633155599999</v>
      </c>
      <c r="F19" s="7">
        <v>20974.033006199999</v>
      </c>
      <c r="H19" s="8">
        <f t="shared" si="0"/>
        <v>262.21689527450002</v>
      </c>
    </row>
    <row r="20" spans="2:8" x14ac:dyDescent="0.3">
      <c r="B20" s="1">
        <v>1.1333333900000001E-2</v>
      </c>
      <c r="C20" s="8">
        <f>'Motion Profile'!G20</f>
        <v>-5.0608005165000005</v>
      </c>
      <c r="D20" s="2">
        <v>226.754973613</v>
      </c>
      <c r="E20" s="2">
        <v>140.17285500899999</v>
      </c>
      <c r="F20" s="7">
        <v>20182.114637400002</v>
      </c>
      <c r="H20" s="8">
        <f t="shared" si="0"/>
        <v>113.3774868065</v>
      </c>
    </row>
    <row r="21" spans="2:8" x14ac:dyDescent="0.3">
      <c r="B21" s="1">
        <v>1.20000006E-2</v>
      </c>
      <c r="C21" s="8">
        <f>'Motion Profile'!G21</f>
        <v>-5.8928005369999994</v>
      </c>
      <c r="D21" s="2">
        <v>4.9061034374599997</v>
      </c>
      <c r="E21" s="2">
        <v>132.631860413</v>
      </c>
      <c r="F21" s="7">
        <v>18610.342072300002</v>
      </c>
      <c r="H21" s="8">
        <f t="shared" si="0"/>
        <v>2.4530517187299998</v>
      </c>
    </row>
    <row r="22" spans="2:8" x14ac:dyDescent="0.3">
      <c r="B22" s="1">
        <v>1.26666673E-2</v>
      </c>
      <c r="C22" s="8">
        <f>'Motion Profile'!G22</f>
        <v>-6.6960005327999994</v>
      </c>
      <c r="D22" s="2">
        <v>-67.632842043799997</v>
      </c>
      <c r="E22" s="2">
        <v>120.18586299499999</v>
      </c>
      <c r="F22" s="7">
        <v>15992.108888299999</v>
      </c>
      <c r="H22" s="8">
        <f t="shared" si="0"/>
        <v>-33.816421021899998</v>
      </c>
    </row>
    <row r="23" spans="2:8" x14ac:dyDescent="0.3">
      <c r="B23" s="1">
        <v>1.3333334000000001E-2</v>
      </c>
      <c r="C23" s="8">
        <f>'Motion Profile'!G23</f>
        <v>-7.400000519999999</v>
      </c>
      <c r="D23" s="2">
        <v>-3.3373371078599998</v>
      </c>
      <c r="E23" s="2">
        <v>103.276869065</v>
      </c>
      <c r="F23" s="7">
        <v>12507.724327899999</v>
      </c>
      <c r="H23" s="8">
        <f t="shared" si="0"/>
        <v>-1.6686685539299999</v>
      </c>
    </row>
    <row r="24" spans="2:8" x14ac:dyDescent="0.3">
      <c r="B24" s="1">
        <v>1.4000000699999999E-2</v>
      </c>
      <c r="C24" s="8">
        <f>'Motion Profile'!G24</f>
        <v>-7.9760005967999987</v>
      </c>
      <c r="D24" s="2">
        <v>116.947764838</v>
      </c>
      <c r="E24" s="2">
        <v>84.386884521400006</v>
      </c>
      <c r="F24" s="7">
        <v>8834.1570621600004</v>
      </c>
      <c r="H24" s="8">
        <f t="shared" si="0"/>
        <v>58.473882418999999</v>
      </c>
    </row>
    <row r="25" spans="2:8" x14ac:dyDescent="0.3">
      <c r="B25" s="1">
        <v>1.46666674E-2</v>
      </c>
      <c r="C25" s="8">
        <f>'Motion Profile'!G25</f>
        <v>-8.4240007631999987</v>
      </c>
      <c r="D25" s="2">
        <v>243.24250702200001</v>
      </c>
      <c r="E25" s="2">
        <v>65.850848859400003</v>
      </c>
      <c r="F25" s="7">
        <v>5671.47618435</v>
      </c>
      <c r="H25" s="8">
        <f t="shared" si="0"/>
        <v>121.62125351100001</v>
      </c>
    </row>
    <row r="26" spans="2:8" x14ac:dyDescent="0.3">
      <c r="B26" s="1">
        <v>1.53333341E-2</v>
      </c>
      <c r="C26" s="8">
        <f>'Motion Profile'!G26</f>
        <v>-8.7440010191999988</v>
      </c>
      <c r="D26" s="2">
        <v>343.701638812</v>
      </c>
      <c r="E26" s="2">
        <v>49.956219900599997</v>
      </c>
      <c r="F26" s="7">
        <v>3373.8725628399998</v>
      </c>
      <c r="H26" s="8">
        <f t="shared" si="0"/>
        <v>171.850819406</v>
      </c>
    </row>
    <row r="27" spans="2:8" x14ac:dyDescent="0.3">
      <c r="B27" s="1">
        <v>1.6000000800000001E-2</v>
      </c>
      <c r="C27" s="8">
        <f>'Motion Profile'!G27</f>
        <v>-8.9360013647999992</v>
      </c>
      <c r="D27" s="2">
        <v>412.71147521500001</v>
      </c>
      <c r="E27" s="2">
        <v>37.840723612399998</v>
      </c>
      <c r="F27" s="7">
        <v>1939.30792675</v>
      </c>
      <c r="H27" s="8">
        <f t="shared" si="0"/>
        <v>206.3557376075</v>
      </c>
    </row>
    <row r="28" spans="2:8" x14ac:dyDescent="0.3">
      <c r="B28" s="1">
        <v>1.6666667499999999E-2</v>
      </c>
      <c r="C28" s="8">
        <f>'Motion Profile'!G28</f>
        <v>-9.0000017999999997</v>
      </c>
      <c r="D28" s="2">
        <v>450.86350391799999</v>
      </c>
      <c r="E28" s="2">
        <v>29.578021754200002</v>
      </c>
      <c r="F28" s="7">
        <v>1142.0111601999999</v>
      </c>
      <c r="H28" s="8">
        <f t="shared" si="0"/>
        <v>225.431751959</v>
      </c>
    </row>
    <row r="29" spans="2:8" x14ac:dyDescent="0.3">
      <c r="B29" s="1">
        <v>1.7333334200000002E-2</v>
      </c>
      <c r="C29" s="8">
        <f>'Motion Profile'!G29</f>
        <v>-8.9104023197000011</v>
      </c>
      <c r="D29" s="2">
        <v>451.08185061900002</v>
      </c>
      <c r="E29" s="2">
        <v>25.017457545100001</v>
      </c>
      <c r="F29" s="7">
        <v>746.89981880599998</v>
      </c>
      <c r="H29" s="8">
        <f t="shared" si="0"/>
        <v>225.54092530950001</v>
      </c>
    </row>
    <row r="30" spans="2:8" x14ac:dyDescent="0.3">
      <c r="B30" s="1">
        <v>1.80000009E-2</v>
      </c>
      <c r="C30" s="8">
        <f>'Motion Profile'!G30</f>
        <v>-8.6416025346999987</v>
      </c>
      <c r="D30" s="2">
        <v>398.543404614</v>
      </c>
      <c r="E30" s="2">
        <v>23.333358818099999</v>
      </c>
      <c r="F30" s="7">
        <v>584.68670979199999</v>
      </c>
      <c r="H30" s="8">
        <f t="shared" si="0"/>
        <v>199.271702307</v>
      </c>
    </row>
    <row r="31" spans="2:8" x14ac:dyDescent="0.3">
      <c r="B31" s="1">
        <v>1.8666667599999999E-2</v>
      </c>
      <c r="C31" s="8">
        <f>'Motion Profile'!G31</f>
        <v>-8.1936024451000016</v>
      </c>
      <c r="D31" s="2">
        <v>268.79563185299997</v>
      </c>
      <c r="E31" s="2">
        <v>22.5852670061</v>
      </c>
      <c r="F31" s="7">
        <v>527.17668617599998</v>
      </c>
      <c r="H31" s="8">
        <f t="shared" si="0"/>
        <v>134.39781592649999</v>
      </c>
    </row>
    <row r="32" spans="2:8" x14ac:dyDescent="0.3">
      <c r="B32" s="1">
        <v>1.9333334300000001E-2</v>
      </c>
      <c r="C32" s="8">
        <f>'Motion Profile'!G32</f>
        <v>-7.566402050899999</v>
      </c>
      <c r="D32" s="2">
        <v>39.593746408800001</v>
      </c>
      <c r="E32" s="2">
        <v>20.192360670799999</v>
      </c>
      <c r="F32" s="7">
        <v>457.95852414199999</v>
      </c>
      <c r="H32" s="8">
        <f t="shared" si="0"/>
        <v>19.796873204400001</v>
      </c>
    </row>
    <row r="33" spans="2:8" x14ac:dyDescent="0.3">
      <c r="B33" s="1">
        <v>2.0000001E-2</v>
      </c>
      <c r="C33" s="8">
        <f>'Motion Profile'!G33</f>
        <v>-6.7600013519999997</v>
      </c>
      <c r="D33" s="2">
        <v>-268.21019250500001</v>
      </c>
      <c r="E33" s="2">
        <v>13.1372979192</v>
      </c>
      <c r="F33" s="7">
        <v>281.86436130099997</v>
      </c>
      <c r="H33" s="8">
        <f t="shared" si="0"/>
        <v>-134.1050962525</v>
      </c>
    </row>
    <row r="34" spans="2:8" x14ac:dyDescent="0.3">
      <c r="B34" s="1">
        <v>2.0666667699999999E-2</v>
      </c>
      <c r="C34" s="8">
        <f>'Motion Profile'!G34</f>
        <v>-5.7744003485000004</v>
      </c>
      <c r="D34" s="2">
        <v>-553.69589672899997</v>
      </c>
      <c r="E34" s="2">
        <v>-0.92117373371599998</v>
      </c>
      <c r="F34" s="7">
        <v>53.778474630399998</v>
      </c>
      <c r="H34" s="8">
        <f t="shared" si="0"/>
        <v>-276.84794836449998</v>
      </c>
    </row>
    <row r="35" spans="2:8" x14ac:dyDescent="0.3">
      <c r="B35" s="1">
        <v>2.1333334400000001E-2</v>
      </c>
      <c r="C35" s="8">
        <f>'Motion Profile'!G35</f>
        <v>-4.6672001289999994</v>
      </c>
      <c r="D35" s="2">
        <v>-721.05023399499999</v>
      </c>
      <c r="E35" s="2">
        <v>-22.729296959700001</v>
      </c>
      <c r="F35" s="7">
        <v>179.469044225</v>
      </c>
      <c r="H35" s="8">
        <f t="shared" si="0"/>
        <v>-360.52511699749999</v>
      </c>
    </row>
    <row r="36" spans="2:8" x14ac:dyDescent="0.3">
      <c r="B36" s="1">
        <v>2.20000011E-2</v>
      </c>
      <c r="C36" s="8">
        <f>'Motion Profile'!G36</f>
        <v>-3.5792002186000005</v>
      </c>
      <c r="D36" s="2">
        <v>-797.05729055999996</v>
      </c>
      <c r="E36" s="2">
        <v>-48.476862269400002</v>
      </c>
      <c r="F36" s="7">
        <v>1322.8240379900001</v>
      </c>
      <c r="H36" s="8">
        <f t="shared" si="0"/>
        <v>-398.52864527999998</v>
      </c>
    </row>
    <row r="37" spans="2:8" x14ac:dyDescent="0.3">
      <c r="B37" s="1">
        <v>2.2666667800000002E-2</v>
      </c>
      <c r="C37" s="8">
        <f>'Motion Profile'!G37</f>
        <v>-2.5168002902000008</v>
      </c>
      <c r="D37" s="2">
        <v>-882.65020827399997</v>
      </c>
      <c r="E37" s="2">
        <v>-74.467665978200003</v>
      </c>
      <c r="F37" s="7">
        <v>3835.1327462899999</v>
      </c>
      <c r="H37" s="8">
        <f t="shared" si="0"/>
        <v>-441.32510413699998</v>
      </c>
    </row>
    <row r="38" spans="2:8" x14ac:dyDescent="0.3">
      <c r="B38" s="1">
        <v>2.33333345E-2</v>
      </c>
      <c r="C38" s="8">
        <f>'Motion Profile'!G38</f>
        <v>-1.4800003440000005</v>
      </c>
      <c r="D38" s="2">
        <v>-997.65667535499995</v>
      </c>
      <c r="E38" s="2">
        <v>-97.227976754500006</v>
      </c>
      <c r="F38" s="7">
        <v>7413.0177455700004</v>
      </c>
      <c r="H38" s="8">
        <f t="shared" si="0"/>
        <v>-498.82833767749997</v>
      </c>
    </row>
    <row r="39" spans="2:8" x14ac:dyDescent="0.3">
      <c r="B39" s="1">
        <v>2.4000001199999999E-2</v>
      </c>
      <c r="C39" s="8">
        <f>'Motion Profile'!G39</f>
        <v>-0.46880037983999934</v>
      </c>
      <c r="D39" s="2">
        <v>-1101.41428494</v>
      </c>
      <c r="E39" s="2">
        <v>-115.43671684</v>
      </c>
      <c r="F39" s="7">
        <v>11334.197826699999</v>
      </c>
      <c r="H39" s="8">
        <f t="shared" si="0"/>
        <v>-550.70714247000001</v>
      </c>
    </row>
    <row r="40" spans="2:8" x14ac:dyDescent="0.3">
      <c r="B40" s="1">
        <v>2.4666667900000001E-2</v>
      </c>
      <c r="C40" s="8">
        <f>'Motion Profile'!G40</f>
        <v>0.51679960224000077</v>
      </c>
      <c r="D40" s="2">
        <v>-1139.75448127</v>
      </c>
      <c r="E40" s="2">
        <v>-129.329432586</v>
      </c>
      <c r="F40" s="7">
        <v>14993.7009387</v>
      </c>
      <c r="H40" s="8">
        <f t="shared" si="0"/>
        <v>-569.87724063500002</v>
      </c>
    </row>
    <row r="41" spans="2:8" x14ac:dyDescent="0.3">
      <c r="B41" s="1">
        <v>2.53333346E-2</v>
      </c>
      <c r="C41" s="8">
        <f>'Motion Profile'!G41</f>
        <v>1.4767996022399998</v>
      </c>
      <c r="D41" s="2">
        <v>-1097.04198219</v>
      </c>
      <c r="E41" s="2">
        <v>-138.74947530399999</v>
      </c>
      <c r="F41" s="7">
        <v>17973.969980900001</v>
      </c>
      <c r="H41" s="8">
        <f t="shared" si="0"/>
        <v>-548.520991095</v>
      </c>
    </row>
    <row r="42" spans="2:8" x14ac:dyDescent="0.3">
      <c r="B42" s="1">
        <v>2.6000001299999999E-2</v>
      </c>
      <c r="C42" s="8">
        <f>'Motion Profile'!G42</f>
        <v>2.4111996201599997</v>
      </c>
      <c r="D42" s="2">
        <v>-968.44250062100002</v>
      </c>
      <c r="E42" s="2">
        <v>-143.56412008000001</v>
      </c>
      <c r="F42" s="7">
        <v>19927.173268300001</v>
      </c>
      <c r="H42" s="8">
        <f t="shared" si="0"/>
        <v>-484.22125031050001</v>
      </c>
    </row>
    <row r="43" spans="2:8" x14ac:dyDescent="0.3">
      <c r="B43" s="1">
        <v>2.6666668000000001E-2</v>
      </c>
      <c r="C43" s="8">
        <f>'Motion Profile'!G43</f>
        <v>3.3199996560000002</v>
      </c>
      <c r="D43" s="2">
        <v>-760.39824592399998</v>
      </c>
      <c r="E43" s="2">
        <v>-144.61175341000001</v>
      </c>
      <c r="F43" s="7">
        <v>20761.4249767</v>
      </c>
      <c r="H43" s="8">
        <f t="shared" si="0"/>
        <v>-380.19912296199999</v>
      </c>
    </row>
    <row r="44" spans="2:8" x14ac:dyDescent="0.3">
      <c r="B44" s="1">
        <v>2.73333347E-2</v>
      </c>
      <c r="C44" s="8">
        <f>'Motion Profile'!G44</f>
        <v>4.2031997097599998</v>
      </c>
      <c r="D44" s="2">
        <v>-490.37769427699999</v>
      </c>
      <c r="E44" s="2">
        <v>-143.06328108100001</v>
      </c>
      <c r="F44" s="7">
        <v>20689.431181200001</v>
      </c>
      <c r="H44" s="8">
        <f t="shared" si="0"/>
        <v>-245.18884713849999</v>
      </c>
    </row>
    <row r="45" spans="2:8" x14ac:dyDescent="0.3">
      <c r="B45" s="1">
        <v>2.8000001399999998E-2</v>
      </c>
      <c r="C45" s="8">
        <f>'Motion Profile'!G45</f>
        <v>5.0607997814400001</v>
      </c>
      <c r="D45" s="2">
        <v>-189.85341287899999</v>
      </c>
      <c r="E45" s="2">
        <v>-139.70770780300001</v>
      </c>
      <c r="F45" s="7">
        <v>19990.796361199999</v>
      </c>
      <c r="H45" s="8">
        <f t="shared" si="0"/>
        <v>-94.926706439499995</v>
      </c>
    </row>
    <row r="46" spans="2:8" x14ac:dyDescent="0.3">
      <c r="B46" s="1">
        <v>2.8666668100000001E-2</v>
      </c>
      <c r="C46" s="8">
        <f>'Motion Profile'!G46</f>
        <v>5.8927998710399994</v>
      </c>
      <c r="D46" s="2">
        <v>40.571655452100003</v>
      </c>
      <c r="E46" s="2">
        <v>-131.79894037899999</v>
      </c>
      <c r="F46" s="7">
        <v>18434.177385200001</v>
      </c>
      <c r="H46" s="8">
        <f t="shared" si="0"/>
        <v>20.285827726050002</v>
      </c>
    </row>
    <row r="47" spans="2:8" x14ac:dyDescent="0.3">
      <c r="B47" s="1">
        <v>2.9333334799999999E-2</v>
      </c>
      <c r="C47" s="8">
        <f>'Motion Profile'!G47</f>
        <v>6.6960000144</v>
      </c>
      <c r="D47" s="2">
        <v>101.178635422</v>
      </c>
      <c r="E47" s="2">
        <v>-119.09005453899999</v>
      </c>
      <c r="F47" s="7">
        <v>15749.781591000001</v>
      </c>
      <c r="H47" s="8">
        <f t="shared" si="0"/>
        <v>50.589317711</v>
      </c>
    </row>
    <row r="48" spans="2:8" x14ac:dyDescent="0.3">
      <c r="B48" s="1">
        <v>3.0000001500000002E-2</v>
      </c>
      <c r="C48" s="8">
        <f>'Motion Profile'!G48</f>
        <v>7.3999995599999995</v>
      </c>
      <c r="D48" s="2">
        <v>30.841175991499998</v>
      </c>
      <c r="E48" s="2">
        <v>-104.235483176</v>
      </c>
      <c r="F48" s="7">
        <v>12486.9621398</v>
      </c>
      <c r="H48" s="8">
        <f t="shared" si="0"/>
        <v>15.420587995749999</v>
      </c>
    </row>
    <row r="49" spans="2:8" x14ac:dyDescent="0.3">
      <c r="B49" s="1">
        <v>3.06666682E-2</v>
      </c>
      <c r="C49" s="8">
        <f>'Motion Profile'!G49</f>
        <v>7.9759979663799996</v>
      </c>
      <c r="D49" s="2">
        <v>-91.676799381099997</v>
      </c>
      <c r="E49" s="2">
        <v>-84.710269025499997</v>
      </c>
      <c r="F49" s="7">
        <v>8956.8938177599994</v>
      </c>
      <c r="H49" s="8">
        <f t="shared" si="0"/>
        <v>-45.838399690549998</v>
      </c>
    </row>
    <row r="50" spans="2:8" x14ac:dyDescent="0.3">
      <c r="B50" s="1">
        <v>3.1333334900000002E-2</v>
      </c>
      <c r="C50" s="8">
        <f>'Motion Profile'!G50</f>
        <v>8.4239952335569992</v>
      </c>
      <c r="D50" s="2">
        <v>-213.39575297299999</v>
      </c>
      <c r="E50" s="2">
        <v>-65.591163142400006</v>
      </c>
      <c r="F50" s="7">
        <v>5678.0918120799997</v>
      </c>
      <c r="H50" s="8">
        <f t="shared" si="0"/>
        <v>-106.69787648649999</v>
      </c>
    </row>
    <row r="51" spans="2:8" x14ac:dyDescent="0.3">
      <c r="B51" s="1">
        <v>3.2000001600000001E-2</v>
      </c>
      <c r="C51" s="8">
        <f>'Motion Profile'!G51</f>
        <v>8.7439913615229994</v>
      </c>
      <c r="D51" s="2">
        <v>-312.95438208299998</v>
      </c>
      <c r="E51" s="2">
        <v>-49.231196992000001</v>
      </c>
      <c r="F51" s="7">
        <v>3318.3476377400002</v>
      </c>
      <c r="H51" s="8">
        <f t="shared" si="0"/>
        <v>-156.47719104149999</v>
      </c>
    </row>
    <row r="52" spans="2:8" x14ac:dyDescent="0.3">
      <c r="B52" s="1">
        <v>3.26666683E-2</v>
      </c>
      <c r="C52" s="8">
        <f>'Motion Profile'!G52</f>
        <v>8.9359863502780996</v>
      </c>
      <c r="D52" s="2">
        <v>-382.53257491400001</v>
      </c>
      <c r="E52" s="2">
        <v>-36.789249024599997</v>
      </c>
      <c r="F52" s="7">
        <v>1862.7794556599999</v>
      </c>
      <c r="H52" s="8">
        <f t="shared" si="0"/>
        <v>-191.266287457</v>
      </c>
    </row>
    <row r="53" spans="2:8" x14ac:dyDescent="0.3">
      <c r="B53" s="1">
        <v>3.3333334999999999E-2</v>
      </c>
      <c r="C53" s="8">
        <f>'Motion Profile'!G53</f>
        <v>8.99998019975307</v>
      </c>
      <c r="D53" s="2">
        <v>-362.89433811999999</v>
      </c>
      <c r="E53" s="2">
        <v>-24.7015247621</v>
      </c>
      <c r="F53" s="7">
        <v>957.45490504300005</v>
      </c>
      <c r="H53" s="8">
        <f t="shared" si="0"/>
        <v>-181.44716905999999</v>
      </c>
    </row>
    <row r="54" spans="2:8" x14ac:dyDescent="0.3">
      <c r="B54" s="1">
        <v>3.4000001699999997E-2</v>
      </c>
      <c r="C54" s="8">
        <f>'Motion Profile'!G54</f>
        <v>8.9103707899613998</v>
      </c>
      <c r="D54" s="8">
        <v>-416.86060292299999</v>
      </c>
      <c r="E54" s="2">
        <v>-25.2234948465</v>
      </c>
      <c r="F54" s="7">
        <v>623.149600126</v>
      </c>
      <c r="H54" s="8">
        <f t="shared" si="0"/>
        <v>-208.43030146149999</v>
      </c>
    </row>
    <row r="55" spans="2:8" x14ac:dyDescent="0.3">
      <c r="B55" s="1">
        <v>3.4666668400000003E-2</v>
      </c>
      <c r="C55" s="8">
        <f>'Motion Profile'!G55</f>
        <v>8.6415613765860009</v>
      </c>
      <c r="D55" s="8">
        <v>-365.02337646299998</v>
      </c>
      <c r="E55" s="2">
        <v>-24.1512071541</v>
      </c>
      <c r="F55" s="7">
        <v>609.56111615099996</v>
      </c>
      <c r="H55" s="8">
        <f t="shared" si="0"/>
        <v>-182.51168823149999</v>
      </c>
    </row>
    <row r="56" spans="2:8" x14ac:dyDescent="0.3">
      <c r="B56" s="1">
        <v>3.5333335100000002E-2</v>
      </c>
      <c r="C56" s="8">
        <f>'Motion Profile'!G56</f>
        <v>8.1935519596259994</v>
      </c>
      <c r="D56" s="8">
        <v>-241.13901246899999</v>
      </c>
      <c r="E56" s="2">
        <v>-23.978731257</v>
      </c>
      <c r="F56" s="7">
        <v>579.12522185700004</v>
      </c>
      <c r="H56" s="8">
        <f t="shared" si="0"/>
        <v>-120.5695062345</v>
      </c>
    </row>
    <row r="57" spans="2:8" x14ac:dyDescent="0.3">
      <c r="B57" s="1">
        <v>3.60000018E-2</v>
      </c>
      <c r="C57" s="8">
        <f>'Motion Profile'!G57</f>
        <v>7.5663425390799999</v>
      </c>
      <c r="D57" s="8">
        <v>-12.812747247200001</v>
      </c>
      <c r="E57" s="2">
        <v>-21.847554298799999</v>
      </c>
      <c r="F57" s="7">
        <v>525.390604897</v>
      </c>
      <c r="H57" s="8">
        <f t="shared" si="0"/>
        <v>-6.4063736236000004</v>
      </c>
    </row>
    <row r="58" spans="2:8" x14ac:dyDescent="0.3">
      <c r="B58" s="1">
        <v>3.6666668499999999E-2</v>
      </c>
      <c r="C58" s="8">
        <f>'Motion Profile'!G58</f>
        <v>6.7599331149499999</v>
      </c>
      <c r="D58" s="8">
        <v>297.48638387300002</v>
      </c>
      <c r="E58" s="2">
        <v>-13.1360200206</v>
      </c>
      <c r="F58" s="7">
        <v>312.28685382999998</v>
      </c>
      <c r="H58" s="8">
        <f t="shared" si="0"/>
        <v>148.74319193650001</v>
      </c>
    </row>
    <row r="59" spans="2:8" x14ac:dyDescent="0.3">
      <c r="B59" s="1">
        <v>3.7333335199999998E-2</v>
      </c>
      <c r="C59" s="8">
        <f>'Motion Profile'!G59</f>
        <v>5.7743236872399999</v>
      </c>
      <c r="D59" s="8">
        <v>590.74501649800004</v>
      </c>
      <c r="E59" s="2">
        <v>0.50470362631200005</v>
      </c>
      <c r="F59" s="7">
        <v>55.393316930399997</v>
      </c>
      <c r="H59" s="8">
        <f t="shared" si="0"/>
        <v>295.37250824900002</v>
      </c>
    </row>
    <row r="60" spans="2:8" x14ac:dyDescent="0.3">
      <c r="B60" s="1">
        <v>3.8000001899999997E-2</v>
      </c>
      <c r="C60" s="8">
        <f>'Motion Profile'!G60</f>
        <v>4.6671222934400003</v>
      </c>
      <c r="D60" s="8">
        <v>751.0736905</v>
      </c>
      <c r="E60" s="2">
        <v>22.117329444999999</v>
      </c>
      <c r="F60" s="7">
        <v>166.86456130100001</v>
      </c>
      <c r="H60" s="8">
        <f t="shared" si="0"/>
        <v>375.53684525</v>
      </c>
    </row>
    <row r="61" spans="2:8" x14ac:dyDescent="0.3">
      <c r="B61" s="1">
        <v>3.8666668600000002E-2</v>
      </c>
      <c r="C61" s="8">
        <f>'Motion Profile'!G61</f>
        <v>3.5791235811200002</v>
      </c>
      <c r="D61" s="8">
        <v>824.55074269500005</v>
      </c>
      <c r="E61" s="2">
        <v>47.959739384199999</v>
      </c>
      <c r="F61" s="7">
        <v>1283.35140654</v>
      </c>
      <c r="H61" s="8">
        <f t="shared" si="0"/>
        <v>412.27537134750003</v>
      </c>
    </row>
    <row r="62" spans="2:8" x14ac:dyDescent="0.3">
      <c r="B62" s="1">
        <v>3.9333335300000001E-2</v>
      </c>
      <c r="C62" s="8">
        <f>'Motion Profile'!G62</f>
        <v>2.5167248723900002</v>
      </c>
      <c r="D62" s="8">
        <v>901.39634341099998</v>
      </c>
      <c r="E62" s="2">
        <v>74.165181538900001</v>
      </c>
      <c r="F62" s="7">
        <v>3785.8511775000002</v>
      </c>
      <c r="H62" s="8">
        <f t="shared" si="0"/>
        <v>450.69817170549999</v>
      </c>
    </row>
    <row r="63" spans="2:8" x14ac:dyDescent="0.3">
      <c r="B63" s="1">
        <v>4.0000002E-2</v>
      </c>
      <c r="C63" s="8">
        <f>'Motion Profile'!G63</f>
        <v>1.4799261672400004</v>
      </c>
      <c r="D63" s="8">
        <v>1003.96173718</v>
      </c>
      <c r="E63" s="2">
        <v>97.094045431500007</v>
      </c>
      <c r="F63" s="7">
        <v>7376.2417722500004</v>
      </c>
      <c r="H63" s="8">
        <f t="shared" si="0"/>
        <v>501.98086859</v>
      </c>
    </row>
    <row r="64" spans="2:8" x14ac:dyDescent="0.3">
      <c r="B64" s="1">
        <v>4.0666668699999999E-2</v>
      </c>
      <c r="C64" s="8">
        <f>'Motion Profile'!G64</f>
        <v>0.46872746566999979</v>
      </c>
      <c r="D64" s="8">
        <v>1094.0543530800001</v>
      </c>
      <c r="E64" s="2">
        <v>115.621943763</v>
      </c>
      <c r="F64" s="7">
        <v>11340.6299328</v>
      </c>
      <c r="H64" s="8">
        <f t="shared" si="0"/>
        <v>547.02717654000003</v>
      </c>
    </row>
    <row r="65" spans="2:8" x14ac:dyDescent="0.3">
      <c r="B65" s="1">
        <v>4.1333335399999997E-2</v>
      </c>
      <c r="C65" s="8">
        <f>'Motion Profile'!G65</f>
        <v>-0.51687123231999976</v>
      </c>
      <c r="D65" s="8">
        <v>1132.1697704400001</v>
      </c>
      <c r="E65" s="2">
        <v>129.74400584399999</v>
      </c>
      <c r="F65" s="7">
        <v>15067.731693199999</v>
      </c>
      <c r="H65" s="8">
        <f t="shared" si="0"/>
        <v>566.08488522000005</v>
      </c>
    </row>
    <row r="66" spans="2:8" x14ac:dyDescent="0.3">
      <c r="B66" s="1">
        <v>4.2000002100000003E-2</v>
      </c>
      <c r="C66" s="8">
        <f>'Motion Profile'!G66</f>
        <v>-1.4768699266999992</v>
      </c>
      <c r="D66" s="8">
        <v>1100.3036290299999</v>
      </c>
      <c r="E66" s="2">
        <v>139.18738654699999</v>
      </c>
      <c r="F66" s="7">
        <v>18088.454906700001</v>
      </c>
      <c r="H66" s="8">
        <f t="shared" si="0"/>
        <v>550.15181451499996</v>
      </c>
    </row>
    <row r="67" spans="2:8" x14ac:dyDescent="0.3">
      <c r="B67" s="1">
        <v>4.2666668800000002E-2</v>
      </c>
      <c r="C67" s="8">
        <f>'Motion Profile'!G67</f>
        <v>-2.4112686174999993</v>
      </c>
      <c r="D67" s="8">
        <v>979.83109830399997</v>
      </c>
      <c r="E67" s="2">
        <v>144.02596538899999</v>
      </c>
      <c r="F67" s="7">
        <v>20054.4016658</v>
      </c>
      <c r="H67" s="8">
        <f t="shared" si="0"/>
        <v>489.91554915199998</v>
      </c>
    </row>
    <row r="68" spans="2:8" x14ac:dyDescent="0.3">
      <c r="B68" s="1">
        <v>4.33333355E-2</v>
      </c>
      <c r="C68" s="8">
        <f>'Motion Profile'!G68</f>
        <v>-3.3200673048000002</v>
      </c>
      <c r="D68" s="8">
        <v>781.615025726</v>
      </c>
      <c r="E68" s="2">
        <v>144.76773801300001</v>
      </c>
      <c r="F68" s="7">
        <v>20850.496633399998</v>
      </c>
      <c r="H68" s="8">
        <f t="shared" ref="H68:H103" si="1">D68/2</f>
        <v>390.807512863</v>
      </c>
    </row>
    <row r="69" spans="2:8" x14ac:dyDescent="0.3">
      <c r="B69" s="1">
        <v>4.4000002199999999E-2</v>
      </c>
      <c r="C69" s="8">
        <f>'Motion Profile'!G69</f>
        <v>-4.2032659884000001</v>
      </c>
      <c r="D69" s="8">
        <v>519.25507362400003</v>
      </c>
      <c r="E69" s="2">
        <v>143.19780050200001</v>
      </c>
      <c r="F69" s="7">
        <v>20731.243235000002</v>
      </c>
      <c r="H69" s="8">
        <f t="shared" si="1"/>
        <v>259.62753681200002</v>
      </c>
    </row>
    <row r="70" spans="2:8" x14ac:dyDescent="0.3">
      <c r="B70" s="1">
        <v>4.4666668899999998E-2</v>
      </c>
      <c r="C70" s="8">
        <f>'Motion Profile'!G70</f>
        <v>-5.0608646685000007</v>
      </c>
      <c r="D70" s="8">
        <v>223.00630244999999</v>
      </c>
      <c r="E70" s="2">
        <v>139.561245746</v>
      </c>
      <c r="F70" s="7">
        <v>19989.2716028</v>
      </c>
      <c r="H70" s="8">
        <f t="shared" si="1"/>
        <v>111.503151225</v>
      </c>
    </row>
    <row r="71" spans="2:8" x14ac:dyDescent="0.3">
      <c r="B71" s="1">
        <v>4.5333335600000003E-2</v>
      </c>
      <c r="C71" s="8">
        <f>'Motion Profile'!G71</f>
        <v>-5.8928633450000003</v>
      </c>
      <c r="D71" s="8">
        <v>2.6692531659599998</v>
      </c>
      <c r="E71" s="2">
        <v>132.11663858399999</v>
      </c>
      <c r="F71" s="7">
        <v>18456.836723100001</v>
      </c>
      <c r="H71" s="8">
        <f t="shared" si="1"/>
        <v>1.3346265829799999</v>
      </c>
    </row>
    <row r="72" spans="2:8" x14ac:dyDescent="0.3">
      <c r="B72" s="1">
        <v>4.6000002300000002E-2</v>
      </c>
      <c r="C72" s="8">
        <f>'Motion Profile'!G72</f>
        <v>-6.6960606525999999</v>
      </c>
      <c r="D72" s="8">
        <v>-68.605956727000006</v>
      </c>
      <c r="E72" s="2">
        <v>119.749187189</v>
      </c>
      <c r="F72" s="7">
        <v>15871.844702599999</v>
      </c>
      <c r="H72" s="8">
        <f t="shared" si="1"/>
        <v>-34.302978363500003</v>
      </c>
    </row>
    <row r="73" spans="2:8" x14ac:dyDescent="0.3">
      <c r="B73" s="1">
        <v>4.6666669000000001E-2</v>
      </c>
      <c r="C73" s="8">
        <f>'Motion Profile'!G73</f>
        <v>-7.4000539198000013</v>
      </c>
      <c r="D73" s="8">
        <v>-3.43809497646</v>
      </c>
      <c r="E73" s="2">
        <v>102.902471823</v>
      </c>
      <c r="F73" s="7">
        <v>12417.091300100001</v>
      </c>
      <c r="H73" s="8">
        <f t="shared" si="1"/>
        <v>-1.71904748823</v>
      </c>
    </row>
    <row r="74" spans="2:8" x14ac:dyDescent="0.3">
      <c r="B74" s="1">
        <v>4.73333357E-2</v>
      </c>
      <c r="C74" s="8">
        <f>'Motion Profile'!G74</f>
        <v>-7.9760472765999992</v>
      </c>
      <c r="D74" s="8">
        <v>117.374172464</v>
      </c>
      <c r="E74" s="2">
        <v>84.063264941499995</v>
      </c>
      <c r="F74" s="7">
        <v>8768.6229906799999</v>
      </c>
      <c r="H74" s="8">
        <f t="shared" si="1"/>
        <v>58.687086231999999</v>
      </c>
    </row>
    <row r="75" spans="2:8" x14ac:dyDescent="0.3">
      <c r="B75" s="1">
        <v>4.8000002399999998E-2</v>
      </c>
      <c r="C75" s="8">
        <f>'Motion Profile'!G75</f>
        <v>-8.424040723000001</v>
      </c>
      <c r="D75" s="8">
        <v>243.93073821300001</v>
      </c>
      <c r="E75" s="2">
        <v>65.573331809999999</v>
      </c>
      <c r="F75" s="7">
        <v>5626.2675741100002</v>
      </c>
      <c r="H75" s="8">
        <f t="shared" si="1"/>
        <v>121.96536910650001</v>
      </c>
    </row>
    <row r="76" spans="2:8" x14ac:dyDescent="0.3">
      <c r="B76" s="1">
        <v>4.8666669099999997E-2</v>
      </c>
      <c r="C76" s="8">
        <f>'Motion Profile'!G76</f>
        <v>-8.7440342589999993</v>
      </c>
      <c r="D76" s="8">
        <v>344.42780138199998</v>
      </c>
      <c r="E76" s="2">
        <v>49.7246811264</v>
      </c>
      <c r="F76" s="7">
        <v>3344.3395908100001</v>
      </c>
      <c r="H76" s="8">
        <f t="shared" si="1"/>
        <v>172.21390069099999</v>
      </c>
    </row>
    <row r="77" spans="2:8" x14ac:dyDescent="0.3">
      <c r="B77" s="1">
        <v>4.9333335800000003E-2</v>
      </c>
      <c r="C77" s="8">
        <f>'Motion Profile'!G77</f>
        <v>-8.9360278846000014</v>
      </c>
      <c r="D77" s="8">
        <v>413.372101929</v>
      </c>
      <c r="E77" s="2">
        <v>37.6498699618</v>
      </c>
      <c r="F77" s="7">
        <v>1920.7281331900001</v>
      </c>
      <c r="H77" s="8">
        <f t="shared" si="1"/>
        <v>206.6860509645</v>
      </c>
    </row>
    <row r="78" spans="2:8" x14ac:dyDescent="0.3">
      <c r="B78" s="1">
        <v>5.0000002500000001E-2</v>
      </c>
      <c r="C78" s="8">
        <f>'Motion Profile'!G78</f>
        <v>-9.0000215998000002</v>
      </c>
      <c r="D78" s="8">
        <v>448.340614227</v>
      </c>
      <c r="E78" s="2">
        <v>28.954612876300001</v>
      </c>
      <c r="F78" s="7">
        <v>1115.3399081800001</v>
      </c>
      <c r="H78" s="8">
        <f t="shared" si="1"/>
        <v>224.1703071135</v>
      </c>
    </row>
    <row r="79" spans="2:8" x14ac:dyDescent="0.3">
      <c r="B79" s="1">
        <v>5.06666692E-2</v>
      </c>
      <c r="C79" s="8">
        <f>'Motion Profile'!G79</f>
        <v>-8.9104127115000011</v>
      </c>
      <c r="D79" s="8">
        <v>451.19670676099997</v>
      </c>
      <c r="E79" s="2">
        <v>24.9821228733</v>
      </c>
      <c r="F79" s="7">
        <v>728.60792223299995</v>
      </c>
      <c r="H79" s="8">
        <f t="shared" si="1"/>
        <v>225.59835338049999</v>
      </c>
    </row>
    <row r="80" spans="2:8" x14ac:dyDescent="0.3">
      <c r="B80" s="1">
        <v>5.1333335899999999E-2</v>
      </c>
      <c r="C80" s="8">
        <f>'Motion Profile'!G80</f>
        <v>-8.6416035184999984</v>
      </c>
      <c r="D80" s="8">
        <v>398.61758127600001</v>
      </c>
      <c r="E80" s="2">
        <v>23.304532285499999</v>
      </c>
      <c r="F80" s="7">
        <v>583.13479245500002</v>
      </c>
      <c r="H80" s="8">
        <f t="shared" si="1"/>
        <v>199.308790638</v>
      </c>
    </row>
    <row r="81" spans="2:8" x14ac:dyDescent="0.3">
      <c r="B81" s="1">
        <v>5.2000002599999998E-2</v>
      </c>
      <c r="C81" s="8">
        <f>'Motion Profile'!G81</f>
        <v>-8.1935940209000009</v>
      </c>
      <c r="D81" s="8">
        <v>268.82927225600002</v>
      </c>
      <c r="E81" s="2">
        <v>22.561874814199999</v>
      </c>
      <c r="F81" s="7">
        <v>525.977786735</v>
      </c>
      <c r="H81" s="8">
        <f t="shared" si="1"/>
        <v>134.41463612800001</v>
      </c>
    </row>
    <row r="82" spans="2:8" x14ac:dyDescent="0.3">
      <c r="B82" s="1">
        <v>5.2666669300000003E-2</v>
      </c>
      <c r="C82" s="8">
        <f>'Motion Profile'!G82</f>
        <v>-7.5663842185999997</v>
      </c>
      <c r="D82" s="8">
        <v>39.591527527499998</v>
      </c>
      <c r="E82" s="2">
        <v>20.173227598899999</v>
      </c>
      <c r="F82" s="7">
        <v>457.04771419100001</v>
      </c>
      <c r="H82" s="8">
        <f t="shared" si="1"/>
        <v>19.795763763749999</v>
      </c>
    </row>
    <row r="83" spans="2:8" x14ac:dyDescent="0.3">
      <c r="B83" s="1">
        <v>5.3333336000000002E-2</v>
      </c>
      <c r="C83" s="8">
        <f>'Motion Profile'!G83</f>
        <v>-6.7599741117000001</v>
      </c>
      <c r="D83" s="8">
        <v>-268.25261506099997</v>
      </c>
      <c r="E83" s="2">
        <v>13.122005188999999</v>
      </c>
      <c r="F83" s="7">
        <v>281.28644305699999</v>
      </c>
      <c r="H83" s="8">
        <f t="shared" si="1"/>
        <v>-134.12630753049999</v>
      </c>
    </row>
    <row r="84" spans="2:8" x14ac:dyDescent="0.3">
      <c r="B84" s="1">
        <v>5.4000002700000001E-2</v>
      </c>
      <c r="C84" s="8">
        <f>'Motion Profile'!G84</f>
        <v>-5.7743637002000003</v>
      </c>
      <c r="D84" s="8">
        <v>-553.74493436700004</v>
      </c>
      <c r="E84" s="2">
        <v>-0.93305205956100001</v>
      </c>
      <c r="F84" s="7">
        <v>53.604697453299998</v>
      </c>
      <c r="H84" s="8">
        <f t="shared" si="1"/>
        <v>-276.87246718350002</v>
      </c>
    </row>
    <row r="85" spans="2:8" x14ac:dyDescent="0.3">
      <c r="B85" s="1">
        <v>5.4666669399999999E-2</v>
      </c>
      <c r="C85" s="8">
        <f>'Motion Profile'!G85</f>
        <v>-4.667162137</v>
      </c>
      <c r="D85" s="8">
        <v>-721.10326148599995</v>
      </c>
      <c r="E85" s="2">
        <v>-22.738598909</v>
      </c>
      <c r="F85" s="7">
        <v>179.71025434399999</v>
      </c>
      <c r="H85" s="8">
        <f t="shared" si="1"/>
        <v>-360.55163074299998</v>
      </c>
    </row>
    <row r="86" spans="2:8" x14ac:dyDescent="0.3">
      <c r="B86" s="1">
        <v>5.5333336099999998E-2</v>
      </c>
      <c r="C86" s="8">
        <f>'Motion Profile'!G86</f>
        <v>-3.5791635706000005</v>
      </c>
      <c r="D86" s="8">
        <v>-797.11029229200005</v>
      </c>
      <c r="E86" s="2">
        <v>-48.484452706299997</v>
      </c>
      <c r="F86" s="7">
        <v>1323.4181860000001</v>
      </c>
      <c r="H86" s="8">
        <f t="shared" si="1"/>
        <v>-398.55514614600003</v>
      </c>
    </row>
    <row r="87" spans="2:8" x14ac:dyDescent="0.3">
      <c r="B87" s="1">
        <v>5.6000002799999997E-2</v>
      </c>
      <c r="C87" s="8">
        <f>'Motion Profile'!G87</f>
        <v>-2.5167649863000001</v>
      </c>
      <c r="D87" s="8">
        <v>-882.69982879999998</v>
      </c>
      <c r="E87" s="2">
        <v>-74.473102637599993</v>
      </c>
      <c r="F87" s="7">
        <v>3835.9242644800001</v>
      </c>
      <c r="H87" s="8">
        <f t="shared" si="1"/>
        <v>-441.34991439999999</v>
      </c>
    </row>
    <row r="88" spans="2:8" x14ac:dyDescent="0.3">
      <c r="B88" s="1">
        <v>5.6666669500000003E-2</v>
      </c>
      <c r="C88" s="8">
        <f>'Motion Profile'!G88</f>
        <v>-1.4799663840000008</v>
      </c>
      <c r="D88" s="8">
        <v>-997.699033794</v>
      </c>
      <c r="E88" s="2">
        <v>-97.233115010399999</v>
      </c>
      <c r="F88" s="7">
        <v>7413.9244750199996</v>
      </c>
      <c r="H88" s="8">
        <f t="shared" si="1"/>
        <v>-498.849516897</v>
      </c>
    </row>
    <row r="89" spans="2:8" x14ac:dyDescent="0.3">
      <c r="B89" s="1">
        <v>5.7333336200000001E-2</v>
      </c>
      <c r="C89" s="8">
        <f>'Motion Profile'!G89</f>
        <v>-0.46876776388000074</v>
      </c>
      <c r="D89" s="8">
        <v>-1101.4487853000001</v>
      </c>
      <c r="E89" s="2">
        <v>-115.440759615</v>
      </c>
      <c r="F89" s="7">
        <v>11335.1707639</v>
      </c>
      <c r="H89" s="8">
        <f t="shared" si="1"/>
        <v>-550.72439265000003</v>
      </c>
    </row>
    <row r="90" spans="2:8" x14ac:dyDescent="0.3">
      <c r="B90" s="1">
        <v>5.80000029E-2</v>
      </c>
      <c r="C90" s="8">
        <f>'Motion Profile'!G90</f>
        <v>0.51683087420000007</v>
      </c>
      <c r="D90" s="8">
        <v>-1139.7806743599999</v>
      </c>
      <c r="E90" s="2">
        <v>-129.33278242</v>
      </c>
      <c r="F90" s="7">
        <v>14994.604078300001</v>
      </c>
      <c r="H90" s="8">
        <f t="shared" si="1"/>
        <v>-569.89033717999996</v>
      </c>
    </row>
    <row r="91" spans="2:8" x14ac:dyDescent="0.3">
      <c r="B91" s="1">
        <v>5.8666669599999999E-2</v>
      </c>
      <c r="C91" s="8">
        <f>'Motion Profile'!G91</f>
        <v>1.4768295301999999</v>
      </c>
      <c r="D91" s="8">
        <v>-1097.05877317</v>
      </c>
      <c r="E91" s="2">
        <v>-138.75191393</v>
      </c>
      <c r="F91" s="7">
        <v>17974.744440800001</v>
      </c>
      <c r="H91" s="8">
        <f t="shared" si="1"/>
        <v>-548.529386585</v>
      </c>
    </row>
    <row r="92" spans="2:8" x14ac:dyDescent="0.3">
      <c r="B92" s="1">
        <v>5.9333336299999997E-2</v>
      </c>
      <c r="C92" s="8">
        <f>'Motion Profile'!G92</f>
        <v>2.4112282041200004</v>
      </c>
      <c r="D92" s="8">
        <v>-968.45134056699999</v>
      </c>
      <c r="E92" s="2">
        <v>-143.56601538699999</v>
      </c>
      <c r="F92" s="7">
        <v>19927.784601200001</v>
      </c>
      <c r="H92" s="8">
        <f t="shared" si="1"/>
        <v>-484.22567028349999</v>
      </c>
    </row>
    <row r="93" spans="2:8" x14ac:dyDescent="0.3">
      <c r="B93" s="1">
        <v>6.0000003000000003E-2</v>
      </c>
      <c r="C93" s="8">
        <f>'Motion Profile'!G93</f>
        <v>3.3200268959599999</v>
      </c>
      <c r="D93" s="8">
        <v>-760.40149770100004</v>
      </c>
      <c r="E93" s="2">
        <v>-144.61316161900001</v>
      </c>
      <c r="F93" s="7">
        <v>20761.9008913</v>
      </c>
      <c r="H93" s="8">
        <f t="shared" si="1"/>
        <v>-380.20074885050002</v>
      </c>
    </row>
    <row r="94" spans="2:8" x14ac:dyDescent="0.3">
      <c r="B94" s="1">
        <v>6.0666669700000002E-2</v>
      </c>
      <c r="C94" s="8">
        <f>'Motion Profile'!G94</f>
        <v>4.2032256057300001</v>
      </c>
      <c r="D94" s="8">
        <v>-490.37421310500002</v>
      </c>
      <c r="E94" s="2">
        <v>-143.063821327</v>
      </c>
      <c r="F94" s="7">
        <v>20689.711667200001</v>
      </c>
      <c r="H94" s="8">
        <f t="shared" si="1"/>
        <v>-245.18710655250001</v>
      </c>
    </row>
    <row r="95" spans="2:8" x14ac:dyDescent="0.3">
      <c r="B95" s="1">
        <v>6.1333336400000001E-2</v>
      </c>
      <c r="C95" s="8">
        <f>'Motion Profile'!G95</f>
        <v>5.0608243334100003</v>
      </c>
      <c r="D95" s="8">
        <v>-189.851057508</v>
      </c>
      <c r="E95" s="2">
        <v>-139.70856520699999</v>
      </c>
      <c r="F95" s="7">
        <v>19990.9937919</v>
      </c>
      <c r="H95" s="8">
        <f t="shared" si="1"/>
        <v>-94.925528753999998</v>
      </c>
    </row>
    <row r="96" spans="2:8" x14ac:dyDescent="0.3">
      <c r="B96" s="1">
        <v>6.2000003099999999E-2</v>
      </c>
      <c r="C96" s="8">
        <f>'Motion Profile'!G96</f>
        <v>5.8928230790100002</v>
      </c>
      <c r="D96" s="8">
        <v>40.572558485400002</v>
      </c>
      <c r="E96" s="2">
        <v>-131.79968488599999</v>
      </c>
      <c r="F96" s="7">
        <v>18434.3949995</v>
      </c>
      <c r="H96" s="8">
        <f t="shared" si="1"/>
        <v>20.286279242700001</v>
      </c>
    </row>
    <row r="97" spans="2:8" x14ac:dyDescent="0.3">
      <c r="B97" s="1">
        <v>6.2666669800000005E-2</v>
      </c>
      <c r="C97" s="8">
        <f>'Motion Profile'!G97</f>
        <v>6.6960205342299997</v>
      </c>
      <c r="D97" s="8">
        <v>101.176663846</v>
      </c>
      <c r="E97" s="2">
        <v>-119.090331187</v>
      </c>
      <c r="F97" s="7">
        <v>15749.910680499999</v>
      </c>
      <c r="H97" s="8">
        <f t="shared" si="1"/>
        <v>50.588331922999998</v>
      </c>
    </row>
    <row r="98" spans="2:8" x14ac:dyDescent="0.3">
      <c r="B98" s="1">
        <v>6.3333336500000004E-2</v>
      </c>
      <c r="C98" s="8">
        <f>'Motion Profile'!G98</f>
        <v>7.40001335976</v>
      </c>
      <c r="D98" s="8">
        <v>30.838698093800001</v>
      </c>
      <c r="E98" s="2">
        <v>-104.235586297</v>
      </c>
      <c r="F98" s="7">
        <v>12487.0049755</v>
      </c>
      <c r="H98" s="8">
        <f t="shared" si="1"/>
        <v>15.419349046900001</v>
      </c>
    </row>
    <row r="99" spans="2:8" x14ac:dyDescent="0.3">
      <c r="B99" s="1">
        <v>6.4000003200000002E-2</v>
      </c>
      <c r="C99" s="8">
        <f>'Motion Profile'!G99</f>
        <v>7.9760050460900001</v>
      </c>
      <c r="D99" s="8">
        <v>-91.678471067900006</v>
      </c>
      <c r="E99" s="2">
        <v>-84.710349717400007</v>
      </c>
      <c r="F99" s="7">
        <v>8956.9112560899994</v>
      </c>
      <c r="H99" s="8">
        <f t="shared" si="1"/>
        <v>-45.839235533950003</v>
      </c>
    </row>
    <row r="100" spans="2:8" x14ac:dyDescent="0.3">
      <c r="B100" s="1">
        <v>6.4666669900000001E-2</v>
      </c>
      <c r="C100" s="8">
        <f>'Motion Profile'!G100</f>
        <v>8.4239955932059996</v>
      </c>
      <c r="D100" s="8">
        <v>-213.39591005299999</v>
      </c>
      <c r="E100" s="2">
        <v>-65.591290934200003</v>
      </c>
      <c r="F100" s="7">
        <v>5678.1073297100002</v>
      </c>
      <c r="H100" s="8">
        <f t="shared" si="1"/>
        <v>-106.6979550265</v>
      </c>
    </row>
    <row r="101" spans="2:8" x14ac:dyDescent="0.3">
      <c r="B101" s="1">
        <v>6.53333366E-2</v>
      </c>
      <c r="C101" s="8">
        <f>'Motion Profile'!G101</f>
        <v>8.7439850011119997</v>
      </c>
      <c r="D101" s="8">
        <v>-312.95292181100001</v>
      </c>
      <c r="E101" s="2">
        <v>-49.231409110400001</v>
      </c>
      <c r="F101" s="7">
        <v>3318.36692249</v>
      </c>
      <c r="H101" s="8">
        <f t="shared" si="1"/>
        <v>-156.47646090550001</v>
      </c>
    </row>
    <row r="102" spans="2:8" x14ac:dyDescent="0.3">
      <c r="B102" s="1">
        <v>6.6000003299999999E-2</v>
      </c>
      <c r="C102" s="8">
        <f>'Motion Profile'!G102</f>
        <v>8.9359732698084002</v>
      </c>
      <c r="D102" s="8">
        <v>-382.53013621999997</v>
      </c>
      <c r="E102" s="2">
        <v>-36.789413353699999</v>
      </c>
      <c r="F102" s="7">
        <v>1862.7957458799999</v>
      </c>
      <c r="H102" s="8">
        <f t="shared" si="1"/>
        <v>-191.26506810999999</v>
      </c>
    </row>
    <row r="103" spans="2:8" x14ac:dyDescent="0.3">
      <c r="B103" s="1">
        <v>6.6666669999999997E-2</v>
      </c>
      <c r="C103" s="8">
        <f>'Motion Profile'!G103</f>
        <v>8.9999603990122345</v>
      </c>
      <c r="D103" s="8">
        <v>-370.57092005999999</v>
      </c>
      <c r="E103" s="2">
        <v>-24.9039338983</v>
      </c>
      <c r="F103" s="7">
        <v>963.28932561099998</v>
      </c>
      <c r="H103" s="8">
        <f t="shared" si="1"/>
        <v>-185.28546003</v>
      </c>
    </row>
  </sheetData>
  <mergeCells count="1">
    <mergeCell ref="D1:E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C5C82-84C6-4B21-A1D8-54A6AD4D94DE}">
  <dimension ref="A1:H103"/>
  <sheetViews>
    <sheetView zoomScaleNormal="100" workbookViewId="0">
      <selection activeCell="H2" sqref="H2"/>
    </sheetView>
  </sheetViews>
  <sheetFormatPr defaultColWidth="8.6640625" defaultRowHeight="14.4" x14ac:dyDescent="0.3"/>
  <cols>
    <col min="3" max="3" width="12" bestFit="1" customWidth="1"/>
    <col min="4" max="4" width="12.6640625" bestFit="1" customWidth="1"/>
    <col min="5" max="5" width="11" bestFit="1" customWidth="1"/>
    <col min="6" max="6" width="12.21875" bestFit="1" customWidth="1"/>
    <col min="7" max="7" width="2" customWidth="1"/>
    <col min="8" max="8" width="18.21875" bestFit="1" customWidth="1"/>
  </cols>
  <sheetData>
    <row r="1" spans="1:8" x14ac:dyDescent="0.3">
      <c r="A1" s="5"/>
      <c r="B1" s="5"/>
      <c r="C1" s="5"/>
      <c r="D1" s="6"/>
      <c r="E1" s="6"/>
      <c r="F1" s="5"/>
    </row>
    <row r="2" spans="1:8" x14ac:dyDescent="0.3">
      <c r="B2" s="1" t="s">
        <v>0</v>
      </c>
      <c r="C2" s="1" t="s">
        <v>7</v>
      </c>
      <c r="D2" s="1" t="s">
        <v>2</v>
      </c>
      <c r="E2" s="1" t="s">
        <v>4</v>
      </c>
      <c r="F2" s="4" t="s">
        <v>3</v>
      </c>
      <c r="H2" s="1" t="s">
        <v>11</v>
      </c>
    </row>
    <row r="3" spans="1:8" x14ac:dyDescent="0.3">
      <c r="B3" s="1">
        <v>0</v>
      </c>
      <c r="C3" s="8">
        <f>'Motion Profile'!G3</f>
        <v>9</v>
      </c>
      <c r="D3" s="2">
        <v>-512.66489716499996</v>
      </c>
      <c r="E3" s="2">
        <v>1.6091165704400001E-6</v>
      </c>
      <c r="F3" s="7">
        <v>1.7261707581799999E-12</v>
      </c>
      <c r="H3" s="8">
        <f>D3/2</f>
        <v>-256.33244858249998</v>
      </c>
    </row>
    <row r="4" spans="1:8" x14ac:dyDescent="0.3">
      <c r="B4" s="1">
        <v>6.6666670000000003E-4</v>
      </c>
      <c r="C4" s="8">
        <f>'Motion Profile'!G4</f>
        <v>8.9103999982079998</v>
      </c>
      <c r="D4" s="2">
        <v>-488.39978466700001</v>
      </c>
      <c r="E4" s="2">
        <v>-0.78163636432500005</v>
      </c>
      <c r="F4" s="7">
        <v>0.40730276552900002</v>
      </c>
      <c r="H4" s="8">
        <f t="shared" ref="H4:H53" si="0">D4/2</f>
        <v>-244.1998923335</v>
      </c>
    </row>
    <row r="5" spans="1:8" x14ac:dyDescent="0.3">
      <c r="B5" s="1">
        <v>1.3333334000000001E-3</v>
      </c>
      <c r="C5" s="8">
        <f>'Motion Profile'!G5</f>
        <v>8.6415999928319991</v>
      </c>
      <c r="D5" s="2">
        <v>-411.05384864199999</v>
      </c>
      <c r="E5" s="2">
        <v>-2.7424550225000002</v>
      </c>
      <c r="F5" s="7">
        <v>6.8504116863900002</v>
      </c>
      <c r="H5" s="8">
        <f t="shared" si="0"/>
        <v>-205.526924321</v>
      </c>
    </row>
    <row r="6" spans="1:8" x14ac:dyDescent="0.3">
      <c r="B6" s="1">
        <v>2.0000001000000001E-3</v>
      </c>
      <c r="C6" s="8">
        <f>'Motion Profile'!G6</f>
        <v>8.1935999838719997</v>
      </c>
      <c r="D6" s="2">
        <v>-262.68139639899999</v>
      </c>
      <c r="E6" s="2">
        <v>-4.8374644700499996</v>
      </c>
      <c r="F6" s="7">
        <v>29.459100521</v>
      </c>
      <c r="H6" s="8">
        <f t="shared" si="0"/>
        <v>-131.3406981995</v>
      </c>
    </row>
    <row r="7" spans="1:8" x14ac:dyDescent="0.3">
      <c r="B7" s="1">
        <v>2.6666668000000001E-3</v>
      </c>
      <c r="C7" s="8">
        <f>'Motion Profile'!G7</f>
        <v>7.5663999713300001</v>
      </c>
      <c r="D7" s="2">
        <v>-14.1665433396</v>
      </c>
      <c r="E7" s="2">
        <v>-5.6074715338100001</v>
      </c>
      <c r="F7" s="7">
        <v>54.647162542099998</v>
      </c>
      <c r="H7" s="8">
        <f t="shared" si="0"/>
        <v>-7.0832716698000002</v>
      </c>
    </row>
    <row r="8" spans="1:8" x14ac:dyDescent="0.3">
      <c r="B8" s="1">
        <v>3.3333335000000001E-3</v>
      </c>
      <c r="C8" s="8">
        <f>'Motion Profile'!G8</f>
        <v>6.7599999551999996</v>
      </c>
      <c r="D8" s="2">
        <v>308.929352182</v>
      </c>
      <c r="E8" s="2">
        <v>-2.7170507448099999</v>
      </c>
      <c r="F8" s="7">
        <v>36.041257639800001</v>
      </c>
      <c r="H8" s="8">
        <f t="shared" si="0"/>
        <v>154.464676091</v>
      </c>
    </row>
    <row r="9" spans="1:8" x14ac:dyDescent="0.3">
      <c r="B9" s="1">
        <v>4.0000002000000002E-3</v>
      </c>
      <c r="C9" s="8">
        <f>'Motion Profile'!G9</f>
        <v>5.77439993549</v>
      </c>
      <c r="D9" s="2">
        <v>612.67624284099998</v>
      </c>
      <c r="E9" s="2">
        <v>3.4622277346199999</v>
      </c>
      <c r="F9" s="7">
        <v>6.6415581274599997</v>
      </c>
      <c r="H9" s="8">
        <f t="shared" si="0"/>
        <v>306.33812142049999</v>
      </c>
    </row>
    <row r="10" spans="1:8" x14ac:dyDescent="0.3">
      <c r="B10" s="1">
        <v>4.6666668999999997E-3</v>
      </c>
      <c r="C10" s="8">
        <f>'Motion Profile'!G10</f>
        <v>4.6671998854099996</v>
      </c>
      <c r="D10" s="2">
        <v>791.26835920099995</v>
      </c>
      <c r="E10" s="2">
        <v>14.665973425200001</v>
      </c>
      <c r="F10" s="7">
        <v>185.236491562</v>
      </c>
      <c r="H10" s="8">
        <f t="shared" si="0"/>
        <v>395.63417960049998</v>
      </c>
    </row>
    <row r="11" spans="1:8" x14ac:dyDescent="0.3">
      <c r="B11" s="1">
        <v>5.3333336000000002E-3</v>
      </c>
      <c r="C11" s="8">
        <f>'Motion Profile'!G11</f>
        <v>3.5791998290900002</v>
      </c>
      <c r="D11" s="2">
        <v>900.23826645300005</v>
      </c>
      <c r="E11" s="2">
        <v>28.993903791400001</v>
      </c>
      <c r="F11" s="7">
        <v>987.30737071199997</v>
      </c>
      <c r="H11" s="8">
        <f t="shared" si="0"/>
        <v>450.11913322650003</v>
      </c>
    </row>
    <row r="12" spans="1:8" x14ac:dyDescent="0.3">
      <c r="B12" s="1">
        <v>6.0000002999999998E-3</v>
      </c>
      <c r="C12" s="8">
        <f>'Motion Profile'!G12</f>
        <v>2.5167997763500001</v>
      </c>
      <c r="D12" s="2">
        <v>1028.7710132699999</v>
      </c>
      <c r="E12" s="2">
        <v>44.441211229300002</v>
      </c>
      <c r="F12" s="7">
        <v>2736.1279435599999</v>
      </c>
      <c r="H12" s="8">
        <f t="shared" si="0"/>
        <v>514.38550663499996</v>
      </c>
    </row>
    <row r="13" spans="1:8" x14ac:dyDescent="0.3">
      <c r="B13" s="1">
        <v>6.6666670000000003E-3</v>
      </c>
      <c r="C13" s="8">
        <f>'Motion Profile'!G13</f>
        <v>1.4799997272000001</v>
      </c>
      <c r="D13" s="2">
        <v>1191.31513688</v>
      </c>
      <c r="E13" s="2">
        <v>58.9491443131</v>
      </c>
      <c r="F13" s="7">
        <v>5379.8628299900001</v>
      </c>
      <c r="H13" s="8">
        <f t="shared" si="0"/>
        <v>595.65756843999998</v>
      </c>
    </row>
    <row r="14" spans="1:8" x14ac:dyDescent="0.3">
      <c r="B14" s="1">
        <v>7.3333336999999998E-3</v>
      </c>
      <c r="C14" s="8">
        <f>'Motion Profile'!G14</f>
        <v>0.4687996816299993</v>
      </c>
      <c r="D14" s="2">
        <v>1344.40591118</v>
      </c>
      <c r="E14" s="2">
        <v>71.502662790100004</v>
      </c>
      <c r="F14" s="7">
        <v>8535.1021259299996</v>
      </c>
      <c r="H14" s="8">
        <f t="shared" si="0"/>
        <v>672.20295558999999</v>
      </c>
    </row>
    <row r="15" spans="1:8" x14ac:dyDescent="0.3">
      <c r="B15" s="1">
        <v>8.0000004000000003E-3</v>
      </c>
      <c r="C15" s="8">
        <f>'Motion Profile'!G15</f>
        <v>-0.51680036035000043</v>
      </c>
      <c r="D15" s="2">
        <v>1438.6721034499999</v>
      </c>
      <c r="E15" s="2">
        <v>81.883113624900005</v>
      </c>
      <c r="F15" s="7">
        <v>11781.5571631</v>
      </c>
      <c r="H15" s="8">
        <f t="shared" si="0"/>
        <v>719.33605172499995</v>
      </c>
    </row>
    <row r="16" spans="1:8" x14ac:dyDescent="0.3">
      <c r="B16" s="1">
        <v>8.6666671000000008E-3</v>
      </c>
      <c r="C16" s="8">
        <f>'Motion Profile'!G16</f>
        <v>-1.4768003988</v>
      </c>
      <c r="D16" s="2">
        <v>1445.8200093600001</v>
      </c>
      <c r="E16" s="2">
        <v>89.7988147871</v>
      </c>
      <c r="F16" s="7">
        <v>14747.7853258</v>
      </c>
      <c r="H16" s="8">
        <f t="shared" si="0"/>
        <v>722.91000468000004</v>
      </c>
    </row>
    <row r="17" spans="2:8" x14ac:dyDescent="0.3">
      <c r="B17" s="1">
        <v>9.3333337999999995E-3</v>
      </c>
      <c r="C17" s="8">
        <f>'Motion Profile'!G17</f>
        <v>-2.4112004335999995</v>
      </c>
      <c r="D17" s="2">
        <v>1343.71923711</v>
      </c>
      <c r="E17" s="2">
        <v>95.131329767899999</v>
      </c>
      <c r="F17" s="7">
        <v>17104.318468599999</v>
      </c>
      <c r="H17" s="8">
        <f t="shared" si="0"/>
        <v>671.859618555</v>
      </c>
    </row>
    <row r="18" spans="2:8" x14ac:dyDescent="0.3">
      <c r="B18" s="1">
        <v>1.00000005E-2</v>
      </c>
      <c r="C18" s="8">
        <f>'Motion Profile'!G18</f>
        <v>-3.3200004647999997</v>
      </c>
      <c r="D18" s="2">
        <v>1145.61209001</v>
      </c>
      <c r="E18" s="2">
        <v>97.930153907199994</v>
      </c>
      <c r="F18" s="7">
        <v>18637.673808799998</v>
      </c>
      <c r="H18" s="8">
        <f t="shared" si="0"/>
        <v>572.80604500499999</v>
      </c>
    </row>
    <row r="19" spans="2:8" x14ac:dyDescent="0.3">
      <c r="B19" s="1">
        <v>1.06666672E-2</v>
      </c>
      <c r="C19" s="8">
        <f>'Motion Profile'!G19</f>
        <v>-4.2032004924000006</v>
      </c>
      <c r="D19" s="2">
        <v>879.58352283500005</v>
      </c>
      <c r="E19" s="2">
        <v>98.780154866100006</v>
      </c>
      <c r="F19" s="7">
        <v>19347.5932058</v>
      </c>
      <c r="H19" s="8">
        <f t="shared" si="0"/>
        <v>439.79176141750003</v>
      </c>
    </row>
    <row r="20" spans="2:8" x14ac:dyDescent="0.3">
      <c r="B20" s="1">
        <v>1.1333333900000001E-2</v>
      </c>
      <c r="C20" s="8">
        <f>'Motion Profile'!G20</f>
        <v>-5.0608005165000005</v>
      </c>
      <c r="D20" s="2">
        <v>565.10371380399999</v>
      </c>
      <c r="E20" s="2">
        <v>98.321720268799993</v>
      </c>
      <c r="F20" s="7">
        <v>19424.609617900001</v>
      </c>
      <c r="H20" s="8">
        <f t="shared" si="0"/>
        <v>282.551856902</v>
      </c>
    </row>
    <row r="21" spans="2:8" x14ac:dyDescent="0.3">
      <c r="B21" s="1">
        <v>1.20000006E-2</v>
      </c>
      <c r="C21" s="8">
        <f>'Motion Profile'!G21</f>
        <v>-5.8928005369999994</v>
      </c>
      <c r="D21" s="2">
        <v>264.474421818</v>
      </c>
      <c r="E21" s="2">
        <v>96.2475059617</v>
      </c>
      <c r="F21" s="7">
        <v>18929.3089588</v>
      </c>
      <c r="H21" s="8">
        <f t="shared" si="0"/>
        <v>132.237210909</v>
      </c>
    </row>
    <row r="22" spans="2:8" x14ac:dyDescent="0.3">
      <c r="B22" s="1">
        <v>1.26666673E-2</v>
      </c>
      <c r="C22" s="8">
        <f>'Motion Profile'!G22</f>
        <v>-6.6960005327999994</v>
      </c>
      <c r="D22" s="2">
        <v>73.702582208300001</v>
      </c>
      <c r="E22" s="2">
        <v>91.442803203699995</v>
      </c>
      <c r="F22" s="7">
        <v>17617.673605399999</v>
      </c>
      <c r="H22" s="8">
        <f t="shared" si="0"/>
        <v>36.85129110415</v>
      </c>
    </row>
    <row r="23" spans="2:8" x14ac:dyDescent="0.3">
      <c r="B23" s="1">
        <v>1.3333334000000001E-2</v>
      </c>
      <c r="C23" s="8">
        <f>'Motion Profile'!G23</f>
        <v>-7.400000519999999</v>
      </c>
      <c r="D23" s="2">
        <v>15.6851730618</v>
      </c>
      <c r="E23" s="2">
        <v>83.856434948</v>
      </c>
      <c r="F23" s="7">
        <v>15374.5036122</v>
      </c>
      <c r="H23" s="8">
        <f t="shared" si="0"/>
        <v>7.8425865309000002</v>
      </c>
    </row>
    <row r="24" spans="2:8" x14ac:dyDescent="0.3">
      <c r="B24" s="1">
        <v>1.4000000699999999E-2</v>
      </c>
      <c r="C24" s="8">
        <f>'Motion Profile'!G24</f>
        <v>-7.9760005967999987</v>
      </c>
      <c r="D24" s="2">
        <v>31.273259265499998</v>
      </c>
      <c r="E24" s="2">
        <v>74.748846286599999</v>
      </c>
      <c r="F24" s="7">
        <v>12591.642313</v>
      </c>
      <c r="H24" s="8">
        <f t="shared" si="0"/>
        <v>15.636629632749999</v>
      </c>
    </row>
    <row r="25" spans="2:8" x14ac:dyDescent="0.3">
      <c r="B25" s="1">
        <v>1.46666674E-2</v>
      </c>
      <c r="C25" s="8">
        <f>'Motion Profile'!G25</f>
        <v>-8.4240007631999987</v>
      </c>
      <c r="D25" s="2">
        <v>80.009239180600005</v>
      </c>
      <c r="E25" s="2">
        <v>65.350683248199999</v>
      </c>
      <c r="F25" s="7">
        <v>9828.6599993500004</v>
      </c>
      <c r="H25" s="8">
        <f t="shared" si="0"/>
        <v>40.004619590300003</v>
      </c>
    </row>
    <row r="26" spans="2:8" x14ac:dyDescent="0.3">
      <c r="B26" s="1">
        <v>1.53333341E-2</v>
      </c>
      <c r="C26" s="8">
        <f>'Motion Profile'!G26</f>
        <v>-8.7440010191999988</v>
      </c>
      <c r="D26" s="2">
        <v>134.32620218299999</v>
      </c>
      <c r="E26" s="2">
        <v>56.648524867200003</v>
      </c>
      <c r="F26" s="7">
        <v>7454.5246504699999</v>
      </c>
      <c r="H26" s="8">
        <f t="shared" si="0"/>
        <v>67.163101091499996</v>
      </c>
    </row>
    <row r="27" spans="2:8" x14ac:dyDescent="0.3">
      <c r="B27" s="1">
        <v>1.6000000800000001E-2</v>
      </c>
      <c r="C27" s="8">
        <f>'Motion Profile'!G27</f>
        <v>-8.9360013647999992</v>
      </c>
      <c r="D27" s="2">
        <v>187.87622388200001</v>
      </c>
      <c r="E27" s="2">
        <v>49.203438519800002</v>
      </c>
      <c r="F27" s="7">
        <v>5611.5572948899999</v>
      </c>
      <c r="H27" s="8">
        <f t="shared" si="0"/>
        <v>93.938111941000003</v>
      </c>
    </row>
    <row r="28" spans="2:8" x14ac:dyDescent="0.3">
      <c r="B28" s="1">
        <v>1.6666667499999999E-2</v>
      </c>
      <c r="C28" s="8">
        <f>'Motion Profile'!G28</f>
        <v>-9.0000017999999997</v>
      </c>
      <c r="D28" s="2">
        <v>234.91744185300001</v>
      </c>
      <c r="E28" s="2">
        <v>43.2814203338</v>
      </c>
      <c r="F28" s="7">
        <v>4282.5696084900001</v>
      </c>
      <c r="H28" s="8">
        <f t="shared" si="0"/>
        <v>117.45872092650001</v>
      </c>
    </row>
    <row r="29" spans="2:8" x14ac:dyDescent="0.3">
      <c r="B29" s="1">
        <v>1.7333334200000002E-2</v>
      </c>
      <c r="C29" s="8">
        <f>'Motion Profile'!G29</f>
        <v>-8.9104023197000011</v>
      </c>
      <c r="D29" s="2">
        <v>264.17499166699997</v>
      </c>
      <c r="E29" s="2">
        <v>39.1174941895</v>
      </c>
      <c r="F29" s="7">
        <v>3397.6802708</v>
      </c>
      <c r="H29" s="8">
        <f t="shared" si="0"/>
        <v>132.08749583349999</v>
      </c>
    </row>
    <row r="30" spans="2:8" x14ac:dyDescent="0.3">
      <c r="B30" s="1">
        <v>1.80000009E-2</v>
      </c>
      <c r="C30" s="8">
        <f>'Motion Profile'!G30</f>
        <v>-8.6416025346999987</v>
      </c>
      <c r="D30" s="2">
        <v>257.93439695199999</v>
      </c>
      <c r="E30" s="2">
        <v>36.5271635649</v>
      </c>
      <c r="F30" s="7">
        <v>2862.17542551</v>
      </c>
      <c r="H30" s="8">
        <f t="shared" si="0"/>
        <v>128.96719847599999</v>
      </c>
    </row>
    <row r="31" spans="2:8" x14ac:dyDescent="0.3">
      <c r="B31" s="1">
        <v>1.8666667599999999E-2</v>
      </c>
      <c r="C31" s="8">
        <f>'Motion Profile'!G31</f>
        <v>-8.1936024451000016</v>
      </c>
      <c r="D31" s="2">
        <v>187.77837986899999</v>
      </c>
      <c r="E31" s="2">
        <v>34.591495492699998</v>
      </c>
      <c r="F31" s="7">
        <v>2529.5563015500002</v>
      </c>
      <c r="H31" s="8">
        <f t="shared" si="0"/>
        <v>93.889189934499996</v>
      </c>
    </row>
    <row r="32" spans="2:8" x14ac:dyDescent="0.3">
      <c r="B32" s="1">
        <v>1.9333334300000001E-2</v>
      </c>
      <c r="C32" s="8">
        <f>'Motion Profile'!G32</f>
        <v>-7.566402050899999</v>
      </c>
      <c r="D32" s="2">
        <v>31.649989737999999</v>
      </c>
      <c r="E32" s="2">
        <v>31.817906724</v>
      </c>
      <c r="F32" s="7">
        <v>2206.3864838300001</v>
      </c>
      <c r="H32" s="8">
        <f t="shared" si="0"/>
        <v>15.824994868999999</v>
      </c>
    </row>
    <row r="33" spans="2:8" x14ac:dyDescent="0.3">
      <c r="B33" s="1">
        <v>2.0000001E-2</v>
      </c>
      <c r="C33" s="8">
        <f>'Motion Profile'!G33</f>
        <v>-6.7600013519999997</v>
      </c>
      <c r="D33" s="2">
        <v>-198.81063689199999</v>
      </c>
      <c r="E33" s="2">
        <v>26.355917591400001</v>
      </c>
      <c r="F33" s="7">
        <v>1697.0691386200001</v>
      </c>
      <c r="H33" s="8">
        <f t="shared" si="0"/>
        <v>-99.405318445999995</v>
      </c>
    </row>
    <row r="34" spans="2:8" x14ac:dyDescent="0.3">
      <c r="B34" s="1">
        <v>2.0666667699999999E-2</v>
      </c>
      <c r="C34" s="8">
        <f>'Motion Profile'!G34</f>
        <v>-5.7744003485000004</v>
      </c>
      <c r="D34" s="2">
        <v>-424.969138251</v>
      </c>
      <c r="E34" s="2">
        <v>16.4425392821</v>
      </c>
      <c r="F34" s="7">
        <v>932.23313362500005</v>
      </c>
      <c r="H34" s="8">
        <f t="shared" si="0"/>
        <v>-212.4845691255</v>
      </c>
    </row>
    <row r="35" spans="2:8" x14ac:dyDescent="0.3">
      <c r="B35" s="1">
        <v>2.1333334400000001E-2</v>
      </c>
      <c r="C35" s="8">
        <f>'Motion Profile'!G35</f>
        <v>-4.6672001289999994</v>
      </c>
      <c r="D35" s="2">
        <v>-563.204247506</v>
      </c>
      <c r="E35" s="2">
        <v>1.84169073708</v>
      </c>
      <c r="F35" s="7">
        <v>202.68733006900001</v>
      </c>
      <c r="H35" s="8">
        <f t="shared" si="0"/>
        <v>-281.602123753</v>
      </c>
    </row>
    <row r="36" spans="2:8" x14ac:dyDescent="0.3">
      <c r="B36" s="1">
        <v>2.20000011E-2</v>
      </c>
      <c r="C36" s="8">
        <f>'Motion Profile'!G36</f>
        <v>-3.5792002186000005</v>
      </c>
      <c r="D36" s="2">
        <v>-653.70917228899998</v>
      </c>
      <c r="E36" s="2">
        <v>-14.9824137376</v>
      </c>
      <c r="F36" s="7">
        <v>133.514382385</v>
      </c>
      <c r="H36" s="8">
        <f t="shared" si="0"/>
        <v>-326.85458614449999</v>
      </c>
    </row>
    <row r="37" spans="2:8" x14ac:dyDescent="0.3">
      <c r="B37" s="1">
        <v>2.2666667800000002E-2</v>
      </c>
      <c r="C37" s="8">
        <f>'Motion Profile'!G37</f>
        <v>-2.5168002902000008</v>
      </c>
      <c r="D37" s="2">
        <v>-794.83626310900001</v>
      </c>
      <c r="E37" s="2">
        <v>-32.1973614578</v>
      </c>
      <c r="F37" s="7">
        <v>1162.35799791</v>
      </c>
      <c r="H37" s="8">
        <f t="shared" si="0"/>
        <v>-397.41813155450001</v>
      </c>
    </row>
    <row r="38" spans="2:8" x14ac:dyDescent="0.3">
      <c r="B38" s="1">
        <v>2.33333345E-2</v>
      </c>
      <c r="C38" s="8">
        <f>'Motion Profile'!G38</f>
        <v>-1.4800003440000005</v>
      </c>
      <c r="D38" s="2">
        <v>-989.04187734100003</v>
      </c>
      <c r="E38" s="2">
        <v>-48.135983539199998</v>
      </c>
      <c r="F38" s="7">
        <v>3269.0631048499999</v>
      </c>
      <c r="H38" s="8">
        <f t="shared" si="0"/>
        <v>-494.52093867050002</v>
      </c>
    </row>
    <row r="39" spans="2:8" x14ac:dyDescent="0.3">
      <c r="B39" s="1">
        <v>2.4000001199999999E-2</v>
      </c>
      <c r="C39" s="8">
        <f>'Motion Profile'!G39</f>
        <v>-0.46880037983999934</v>
      </c>
      <c r="D39" s="2">
        <v>-1178.6638400500001</v>
      </c>
      <c r="E39" s="2">
        <v>-61.948832974799998</v>
      </c>
      <c r="F39" s="7">
        <v>6091.1325483800001</v>
      </c>
      <c r="H39" s="8">
        <f t="shared" si="0"/>
        <v>-589.33192002500004</v>
      </c>
    </row>
    <row r="40" spans="2:8" x14ac:dyDescent="0.3">
      <c r="B40" s="1">
        <v>2.4666667900000001E-2</v>
      </c>
      <c r="C40" s="8">
        <f>'Motion Profile'!G40</f>
        <v>0.51679960224000077</v>
      </c>
      <c r="D40" s="2">
        <v>-1298.2114866899999</v>
      </c>
      <c r="E40" s="2">
        <v>-73.445928675399998</v>
      </c>
      <c r="F40" s="7">
        <v>9187.9012760700007</v>
      </c>
      <c r="H40" s="8">
        <f t="shared" si="0"/>
        <v>-649.10574334499995</v>
      </c>
    </row>
    <row r="41" spans="2:8" x14ac:dyDescent="0.3">
      <c r="B41" s="1">
        <v>2.53333346E-2</v>
      </c>
      <c r="C41" s="8">
        <f>'Motion Profile'!G41</f>
        <v>1.4767996022399998</v>
      </c>
      <c r="D41" s="2">
        <v>-1321.32938921</v>
      </c>
      <c r="E41" s="2">
        <v>-82.419010834299996</v>
      </c>
      <c r="F41" s="7">
        <v>12160.359051400001</v>
      </c>
      <c r="H41" s="8">
        <f t="shared" si="0"/>
        <v>-660.66469460500002</v>
      </c>
    </row>
    <row r="42" spans="2:8" x14ac:dyDescent="0.3">
      <c r="B42" s="1">
        <v>2.6000001299999999E-2</v>
      </c>
      <c r="C42" s="8">
        <f>'Motion Profile'!G42</f>
        <v>2.4111996201599997</v>
      </c>
      <c r="D42" s="2">
        <v>-1236.5127476299999</v>
      </c>
      <c r="E42" s="2">
        <v>-88.6036348425</v>
      </c>
      <c r="F42" s="7">
        <v>14630.747596200001</v>
      </c>
      <c r="H42" s="8">
        <f t="shared" si="0"/>
        <v>-618.25637381499996</v>
      </c>
    </row>
    <row r="43" spans="2:8" x14ac:dyDescent="0.3">
      <c r="B43" s="1">
        <v>2.6666668000000001E-2</v>
      </c>
      <c r="C43" s="8">
        <f>'Motion Profile'!G43</f>
        <v>3.3199996560000002</v>
      </c>
      <c r="D43" s="2">
        <v>-1050.2767103799999</v>
      </c>
      <c r="E43" s="2">
        <v>-92.320201734799994</v>
      </c>
      <c r="F43" s="7">
        <v>16369.0194658</v>
      </c>
      <c r="H43" s="8">
        <f t="shared" si="0"/>
        <v>-525.13835518999997</v>
      </c>
    </row>
    <row r="44" spans="2:8" x14ac:dyDescent="0.3">
      <c r="B44" s="1">
        <v>2.73333347E-2</v>
      </c>
      <c r="C44" s="8">
        <f>'Motion Profile'!G44</f>
        <v>4.2031997097599998</v>
      </c>
      <c r="D44" s="2">
        <v>-791.48370063499999</v>
      </c>
      <c r="E44" s="2">
        <v>-93.9102631831</v>
      </c>
      <c r="F44" s="7">
        <v>17341.314414299999</v>
      </c>
      <c r="H44" s="8">
        <f t="shared" si="0"/>
        <v>-395.7418503175</v>
      </c>
    </row>
    <row r="45" spans="2:8" x14ac:dyDescent="0.3">
      <c r="B45" s="1">
        <v>2.8000001399999998E-2</v>
      </c>
      <c r="C45" s="8">
        <f>'Motion Profile'!G45</f>
        <v>5.0607997814400001</v>
      </c>
      <c r="D45" s="2">
        <v>-484.94073507100001</v>
      </c>
      <c r="E45" s="2">
        <v>-94.250898309600004</v>
      </c>
      <c r="F45" s="7">
        <v>17702.3306859</v>
      </c>
      <c r="H45" s="8">
        <f t="shared" si="0"/>
        <v>-242.4703675355</v>
      </c>
    </row>
    <row r="46" spans="2:8" x14ac:dyDescent="0.3">
      <c r="B46" s="1">
        <v>2.8666668100000001E-2</v>
      </c>
      <c r="C46" s="8">
        <f>'Motion Profile'!G46</f>
        <v>5.8927998710399994</v>
      </c>
      <c r="D46" s="2">
        <v>-189.37945451900001</v>
      </c>
      <c r="E46" s="2">
        <v>-92.389412236599995</v>
      </c>
      <c r="F46" s="7">
        <v>17417.880282099999</v>
      </c>
      <c r="H46" s="8">
        <f t="shared" si="0"/>
        <v>-94.689727259500003</v>
      </c>
    </row>
    <row r="47" spans="2:8" x14ac:dyDescent="0.3">
      <c r="B47" s="1">
        <v>2.9333334799999999E-2</v>
      </c>
      <c r="C47" s="8">
        <f>'Motion Profile'!G47</f>
        <v>6.6960000144</v>
      </c>
      <c r="D47" s="2">
        <v>-25.444353648900002</v>
      </c>
      <c r="E47" s="2">
        <v>-87.682390839000007</v>
      </c>
      <c r="F47" s="7">
        <v>16216.619806500001</v>
      </c>
      <c r="H47" s="8">
        <f t="shared" si="0"/>
        <v>-12.722176824450001</v>
      </c>
    </row>
    <row r="48" spans="2:8" x14ac:dyDescent="0.3">
      <c r="B48" s="1">
        <v>3.0000001500000002E-2</v>
      </c>
      <c r="C48" s="8">
        <f>'Motion Profile'!G48</f>
        <v>7.3999995599999995</v>
      </c>
      <c r="D48" s="2">
        <v>14.4184879373</v>
      </c>
      <c r="E48" s="2">
        <v>-81.499741710500004</v>
      </c>
      <c r="F48" s="7">
        <v>14317.667845399999</v>
      </c>
      <c r="H48" s="8">
        <f t="shared" si="0"/>
        <v>7.2092439686500001</v>
      </c>
    </row>
    <row r="49" spans="2:8" x14ac:dyDescent="0.3">
      <c r="B49" s="1">
        <v>3.06666682E-2</v>
      </c>
      <c r="C49" s="8">
        <f>'Motion Profile'!G49</f>
        <v>7.9759979663799996</v>
      </c>
      <c r="D49" s="2">
        <v>-9.3666770530200001</v>
      </c>
      <c r="E49" s="2">
        <v>-72.324448237200002</v>
      </c>
      <c r="F49" s="7">
        <v>11844.9717083</v>
      </c>
      <c r="H49" s="8">
        <f t="shared" si="0"/>
        <v>-4.68333852651</v>
      </c>
    </row>
    <row r="50" spans="2:8" x14ac:dyDescent="0.3">
      <c r="B50" s="1">
        <v>3.1333334900000002E-2</v>
      </c>
      <c r="C50" s="8">
        <f>'Motion Profile'!G50</f>
        <v>8.4239952335569992</v>
      </c>
      <c r="D50" s="2">
        <v>-60.071876205400002</v>
      </c>
      <c r="E50" s="2">
        <v>-62.911951872099998</v>
      </c>
      <c r="F50" s="7">
        <v>9159.2078052399993</v>
      </c>
      <c r="H50" s="8">
        <f t="shared" si="0"/>
        <v>-30.035938102700001</v>
      </c>
    </row>
    <row r="51" spans="2:8" x14ac:dyDescent="0.3">
      <c r="B51" s="1">
        <v>3.2000001600000001E-2</v>
      </c>
      <c r="C51" s="8">
        <f>'Motion Profile'!G51</f>
        <v>8.7439913615229994</v>
      </c>
      <c r="D51" s="2">
        <v>-118.522345852</v>
      </c>
      <c r="E51" s="2">
        <v>-54.234438469600001</v>
      </c>
      <c r="F51" s="7">
        <v>6874.18825818</v>
      </c>
      <c r="H51" s="8">
        <f t="shared" si="0"/>
        <v>-59.261172926</v>
      </c>
    </row>
    <row r="52" spans="2:8" x14ac:dyDescent="0.3">
      <c r="B52" s="1">
        <v>3.26666683E-2</v>
      </c>
      <c r="C52" s="8">
        <f>'Motion Profile'!G52</f>
        <v>8.9359863502780996</v>
      </c>
      <c r="D52" s="2">
        <v>-174.697485347</v>
      </c>
      <c r="E52" s="2">
        <v>-46.807240404300003</v>
      </c>
      <c r="F52" s="7">
        <v>5113.90431334</v>
      </c>
      <c r="H52" s="8">
        <f t="shared" si="0"/>
        <v>-87.348742673499999</v>
      </c>
    </row>
    <row r="53" spans="2:8" x14ac:dyDescent="0.3">
      <c r="B53" s="1">
        <v>3.3333334999999999E-2</v>
      </c>
      <c r="C53" s="8">
        <f>'Motion Profile'!G53</f>
        <v>8.99998019975307</v>
      </c>
      <c r="D53" s="2">
        <v>-159.57134940099999</v>
      </c>
      <c r="E53" s="2">
        <v>-35.793761939900001</v>
      </c>
      <c r="F53" s="7">
        <v>3431.6789121100001</v>
      </c>
      <c r="H53" s="8">
        <f t="shared" si="0"/>
        <v>-79.785674700499996</v>
      </c>
    </row>
    <row r="54" spans="2:8" x14ac:dyDescent="0.3">
      <c r="B54" s="1">
        <v>3.4000001699999997E-2</v>
      </c>
      <c r="C54" s="8">
        <f>'Motion Profile'!G54</f>
        <v>8.9103707899613998</v>
      </c>
      <c r="D54" s="1"/>
      <c r="E54" s="1"/>
    </row>
    <row r="55" spans="2:8" x14ac:dyDescent="0.3">
      <c r="B55" s="1">
        <v>3.4666668400000003E-2</v>
      </c>
      <c r="C55" s="8">
        <f>'Motion Profile'!G55</f>
        <v>8.6415613765860009</v>
      </c>
      <c r="D55" s="1"/>
      <c r="E55" s="1"/>
    </row>
    <row r="56" spans="2:8" x14ac:dyDescent="0.3">
      <c r="B56" s="1">
        <v>3.5333335100000002E-2</v>
      </c>
      <c r="C56" s="8">
        <f>'Motion Profile'!G56</f>
        <v>8.1935519596259994</v>
      </c>
      <c r="D56" s="1"/>
      <c r="E56" s="1"/>
    </row>
    <row r="57" spans="2:8" x14ac:dyDescent="0.3">
      <c r="B57" s="1">
        <v>3.60000018E-2</v>
      </c>
      <c r="C57" s="8">
        <f>'Motion Profile'!G57</f>
        <v>7.5663425390799999</v>
      </c>
      <c r="D57" s="1"/>
      <c r="E57" s="1"/>
    </row>
    <row r="58" spans="2:8" x14ac:dyDescent="0.3">
      <c r="B58" s="1">
        <v>3.6666668499999999E-2</v>
      </c>
      <c r="C58" s="8">
        <f>'Motion Profile'!G58</f>
        <v>6.7599331149499999</v>
      </c>
      <c r="D58" s="1"/>
      <c r="E58" s="1"/>
    </row>
    <row r="59" spans="2:8" x14ac:dyDescent="0.3">
      <c r="B59" s="1">
        <v>3.7333335199999998E-2</v>
      </c>
      <c r="C59" s="8">
        <f>'Motion Profile'!G59</f>
        <v>5.7743236872399999</v>
      </c>
      <c r="D59" s="1"/>
      <c r="E59" s="1"/>
    </row>
    <row r="60" spans="2:8" x14ac:dyDescent="0.3">
      <c r="B60" s="1">
        <v>3.8000001899999997E-2</v>
      </c>
      <c r="C60" s="8">
        <f>'Motion Profile'!G60</f>
        <v>4.6671222934400003</v>
      </c>
      <c r="D60" s="1"/>
      <c r="E60" s="1"/>
    </row>
    <row r="61" spans="2:8" x14ac:dyDescent="0.3">
      <c r="B61" s="1">
        <v>3.8666668600000002E-2</v>
      </c>
      <c r="C61" s="8">
        <f>'Motion Profile'!G61</f>
        <v>3.5791235811200002</v>
      </c>
      <c r="D61" s="1"/>
      <c r="E61" s="1"/>
    </row>
    <row r="62" spans="2:8" x14ac:dyDescent="0.3">
      <c r="B62" s="1">
        <v>3.9333335300000001E-2</v>
      </c>
      <c r="C62" s="8">
        <f>'Motion Profile'!G62</f>
        <v>2.5167248723900002</v>
      </c>
      <c r="D62" s="1"/>
      <c r="E62" s="1"/>
    </row>
    <row r="63" spans="2:8" x14ac:dyDescent="0.3">
      <c r="B63" s="1">
        <v>4.0000002E-2</v>
      </c>
      <c r="C63" s="8">
        <f>'Motion Profile'!G63</f>
        <v>1.4799261672400004</v>
      </c>
      <c r="D63" s="1"/>
      <c r="E63" s="1"/>
    </row>
    <row r="64" spans="2:8" x14ac:dyDescent="0.3">
      <c r="B64" s="1">
        <v>4.0666668699999999E-2</v>
      </c>
      <c r="C64" s="8">
        <f>'Motion Profile'!G64</f>
        <v>0.46872746566999979</v>
      </c>
      <c r="D64" s="1"/>
      <c r="E64" s="1"/>
    </row>
    <row r="65" spans="2:5" x14ac:dyDescent="0.3">
      <c r="B65" s="1">
        <v>4.1333335399999997E-2</v>
      </c>
      <c r="C65" s="8">
        <f>'Motion Profile'!G65</f>
        <v>-0.51687123231999976</v>
      </c>
      <c r="D65" s="1"/>
      <c r="E65" s="1"/>
    </row>
    <row r="66" spans="2:5" x14ac:dyDescent="0.3">
      <c r="B66" s="1">
        <v>4.2000002100000003E-2</v>
      </c>
      <c r="C66" s="8">
        <f>'Motion Profile'!G66</f>
        <v>-1.4768699266999992</v>
      </c>
      <c r="D66" s="1"/>
      <c r="E66" s="1"/>
    </row>
    <row r="67" spans="2:5" x14ac:dyDescent="0.3">
      <c r="B67" s="1">
        <v>4.2666668800000002E-2</v>
      </c>
      <c r="C67" s="8">
        <f>'Motion Profile'!G67</f>
        <v>-2.4112686174999993</v>
      </c>
      <c r="D67" s="1"/>
      <c r="E67" s="1"/>
    </row>
    <row r="68" spans="2:5" x14ac:dyDescent="0.3">
      <c r="B68" s="1">
        <v>4.33333355E-2</v>
      </c>
      <c r="C68" s="8">
        <f>'Motion Profile'!G68</f>
        <v>-3.3200673048000002</v>
      </c>
      <c r="D68" s="1"/>
      <c r="E68" s="1"/>
    </row>
    <row r="69" spans="2:5" x14ac:dyDescent="0.3">
      <c r="B69" s="1">
        <v>4.4000002199999999E-2</v>
      </c>
      <c r="C69" s="8">
        <f>'Motion Profile'!G69</f>
        <v>-4.2032659884000001</v>
      </c>
      <c r="D69" s="1"/>
      <c r="E69" s="1"/>
    </row>
    <row r="70" spans="2:5" x14ac:dyDescent="0.3">
      <c r="B70" s="1">
        <v>4.4666668899999998E-2</v>
      </c>
      <c r="C70" s="8">
        <f>'Motion Profile'!G70</f>
        <v>-5.0608646685000007</v>
      </c>
      <c r="D70" s="1"/>
      <c r="E70" s="1"/>
    </row>
    <row r="71" spans="2:5" x14ac:dyDescent="0.3">
      <c r="B71" s="1">
        <v>4.5333335600000003E-2</v>
      </c>
      <c r="C71" s="8">
        <f>'Motion Profile'!G71</f>
        <v>-5.8928633450000003</v>
      </c>
      <c r="D71" s="1"/>
      <c r="E71" s="1"/>
    </row>
    <row r="72" spans="2:5" x14ac:dyDescent="0.3">
      <c r="B72" s="1">
        <v>4.6000002300000002E-2</v>
      </c>
      <c r="C72" s="8">
        <f>'Motion Profile'!G72</f>
        <v>-6.6960606525999999</v>
      </c>
      <c r="D72" s="1"/>
      <c r="E72" s="1"/>
    </row>
    <row r="73" spans="2:5" x14ac:dyDescent="0.3">
      <c r="B73" s="1">
        <v>4.6666669000000001E-2</v>
      </c>
      <c r="C73" s="8">
        <f>'Motion Profile'!G73</f>
        <v>-7.4000539198000013</v>
      </c>
      <c r="D73" s="1"/>
      <c r="E73" s="1"/>
    </row>
    <row r="74" spans="2:5" x14ac:dyDescent="0.3">
      <c r="B74" s="1">
        <v>4.73333357E-2</v>
      </c>
      <c r="C74" s="8">
        <f>'Motion Profile'!G74</f>
        <v>-7.9760472765999992</v>
      </c>
      <c r="D74" s="1"/>
      <c r="E74" s="1"/>
    </row>
    <row r="75" spans="2:5" x14ac:dyDescent="0.3">
      <c r="B75" s="1">
        <v>4.8000002399999998E-2</v>
      </c>
      <c r="C75" s="8">
        <f>'Motion Profile'!G75</f>
        <v>-8.424040723000001</v>
      </c>
      <c r="D75" s="1"/>
      <c r="E75" s="1"/>
    </row>
    <row r="76" spans="2:5" x14ac:dyDescent="0.3">
      <c r="B76" s="1">
        <v>4.8666669099999997E-2</v>
      </c>
      <c r="C76" s="8">
        <f>'Motion Profile'!G76</f>
        <v>-8.7440342589999993</v>
      </c>
      <c r="D76" s="1"/>
      <c r="E76" s="1"/>
    </row>
    <row r="77" spans="2:5" x14ac:dyDescent="0.3">
      <c r="B77" s="1">
        <v>4.9333335800000003E-2</v>
      </c>
      <c r="C77" s="8">
        <f>'Motion Profile'!G77</f>
        <v>-8.9360278846000014</v>
      </c>
      <c r="D77" s="1"/>
      <c r="E77" s="1"/>
    </row>
    <row r="78" spans="2:5" x14ac:dyDescent="0.3">
      <c r="B78" s="1">
        <v>5.0000002500000001E-2</v>
      </c>
      <c r="C78" s="8">
        <f>'Motion Profile'!G78</f>
        <v>-9.0000215998000002</v>
      </c>
      <c r="D78" s="1"/>
      <c r="E78" s="1"/>
    </row>
    <row r="79" spans="2:5" x14ac:dyDescent="0.3">
      <c r="B79" s="1">
        <v>5.06666692E-2</v>
      </c>
      <c r="C79" s="8">
        <f>'Motion Profile'!G79</f>
        <v>-8.9104127115000011</v>
      </c>
      <c r="D79" s="1"/>
      <c r="E79" s="1"/>
    </row>
    <row r="80" spans="2:5" x14ac:dyDescent="0.3">
      <c r="B80" s="1">
        <v>5.1333335899999999E-2</v>
      </c>
      <c r="C80" s="8">
        <f>'Motion Profile'!G80</f>
        <v>-8.6416035184999984</v>
      </c>
      <c r="D80" s="1"/>
      <c r="E80" s="1"/>
    </row>
    <row r="81" spans="2:5" x14ac:dyDescent="0.3">
      <c r="B81" s="1">
        <v>5.2000002599999998E-2</v>
      </c>
      <c r="C81" s="8">
        <f>'Motion Profile'!G81</f>
        <v>-8.1935940209000009</v>
      </c>
      <c r="D81" s="1"/>
      <c r="E81" s="1"/>
    </row>
    <row r="82" spans="2:5" x14ac:dyDescent="0.3">
      <c r="B82" s="1">
        <v>5.2666669300000003E-2</v>
      </c>
      <c r="C82" s="8">
        <f>'Motion Profile'!G82</f>
        <v>-7.5663842185999997</v>
      </c>
      <c r="D82" s="1"/>
      <c r="E82" s="1"/>
    </row>
    <row r="83" spans="2:5" x14ac:dyDescent="0.3">
      <c r="B83" s="1">
        <v>5.3333336000000002E-2</v>
      </c>
      <c r="C83" s="8">
        <f>'Motion Profile'!G83</f>
        <v>-6.7599741117000001</v>
      </c>
      <c r="D83" s="1"/>
      <c r="E83" s="1"/>
    </row>
    <row r="84" spans="2:5" x14ac:dyDescent="0.3">
      <c r="B84" s="1">
        <v>5.4000002700000001E-2</v>
      </c>
      <c r="C84" s="8">
        <f>'Motion Profile'!G84</f>
        <v>-5.7743637002000003</v>
      </c>
      <c r="D84" s="1"/>
      <c r="E84" s="1"/>
    </row>
    <row r="85" spans="2:5" x14ac:dyDescent="0.3">
      <c r="B85" s="1">
        <v>5.4666669399999999E-2</v>
      </c>
      <c r="C85" s="8">
        <f>'Motion Profile'!G85</f>
        <v>-4.667162137</v>
      </c>
      <c r="D85" s="1"/>
      <c r="E85" s="1"/>
    </row>
    <row r="86" spans="2:5" x14ac:dyDescent="0.3">
      <c r="B86" s="1">
        <v>5.5333336099999998E-2</v>
      </c>
      <c r="C86" s="8">
        <f>'Motion Profile'!G86</f>
        <v>-3.5791635706000005</v>
      </c>
      <c r="D86" s="1"/>
      <c r="E86" s="1"/>
    </row>
    <row r="87" spans="2:5" x14ac:dyDescent="0.3">
      <c r="B87" s="1">
        <v>5.6000002799999997E-2</v>
      </c>
      <c r="C87" s="8">
        <f>'Motion Profile'!G87</f>
        <v>-2.5167649863000001</v>
      </c>
      <c r="D87" s="1"/>
      <c r="E87" s="1"/>
    </row>
    <row r="88" spans="2:5" x14ac:dyDescent="0.3">
      <c r="B88" s="1">
        <v>5.6666669500000003E-2</v>
      </c>
      <c r="C88" s="8">
        <f>'Motion Profile'!G88</f>
        <v>-1.4799663840000008</v>
      </c>
      <c r="D88" s="1"/>
      <c r="E88" s="1"/>
    </row>
    <row r="89" spans="2:5" x14ac:dyDescent="0.3">
      <c r="B89" s="1">
        <v>5.7333336200000001E-2</v>
      </c>
      <c r="C89" s="8">
        <f>'Motion Profile'!G89</f>
        <v>-0.46876776388000074</v>
      </c>
      <c r="D89" s="1"/>
      <c r="E89" s="1"/>
    </row>
    <row r="90" spans="2:5" x14ac:dyDescent="0.3">
      <c r="B90" s="1">
        <v>5.80000029E-2</v>
      </c>
      <c r="C90" s="8">
        <f>'Motion Profile'!G90</f>
        <v>0.51683087420000007</v>
      </c>
      <c r="D90" s="1"/>
      <c r="E90" s="1"/>
    </row>
    <row r="91" spans="2:5" x14ac:dyDescent="0.3">
      <c r="B91" s="1">
        <v>5.8666669599999999E-2</v>
      </c>
      <c r="C91" s="8">
        <f>'Motion Profile'!G91</f>
        <v>1.4768295301999999</v>
      </c>
      <c r="D91" s="1"/>
      <c r="E91" s="1"/>
    </row>
    <row r="92" spans="2:5" x14ac:dyDescent="0.3">
      <c r="B92" s="1">
        <v>5.9333336299999997E-2</v>
      </c>
      <c r="C92" s="8">
        <f>'Motion Profile'!G92</f>
        <v>2.4112282041200004</v>
      </c>
      <c r="D92" s="1"/>
      <c r="E92" s="1"/>
    </row>
    <row r="93" spans="2:5" x14ac:dyDescent="0.3">
      <c r="B93" s="1">
        <v>6.0000003000000003E-2</v>
      </c>
      <c r="C93" s="8">
        <f>'Motion Profile'!G93</f>
        <v>3.3200268959599999</v>
      </c>
      <c r="D93" s="1"/>
      <c r="E93" s="1"/>
    </row>
    <row r="94" spans="2:5" x14ac:dyDescent="0.3">
      <c r="B94" s="1">
        <v>6.0666669700000002E-2</v>
      </c>
      <c r="C94" s="8">
        <f>'Motion Profile'!G94</f>
        <v>4.2032256057300001</v>
      </c>
      <c r="D94" s="1"/>
      <c r="E94" s="1"/>
    </row>
    <row r="95" spans="2:5" x14ac:dyDescent="0.3">
      <c r="B95" s="1">
        <v>6.1333336400000001E-2</v>
      </c>
      <c r="C95" s="8">
        <f>'Motion Profile'!G95</f>
        <v>5.0608243334100003</v>
      </c>
      <c r="D95" s="1"/>
      <c r="E95" s="1"/>
    </row>
    <row r="96" spans="2:5" x14ac:dyDescent="0.3">
      <c r="B96" s="1">
        <v>6.2000003099999999E-2</v>
      </c>
      <c r="C96" s="8">
        <f>'Motion Profile'!G96</f>
        <v>5.8928230790100002</v>
      </c>
      <c r="D96" s="1"/>
      <c r="E96" s="1"/>
    </row>
    <row r="97" spans="2:5" x14ac:dyDescent="0.3">
      <c r="B97" s="1">
        <v>6.2666669800000005E-2</v>
      </c>
      <c r="C97" s="8">
        <f>'Motion Profile'!G97</f>
        <v>6.6960205342299997</v>
      </c>
      <c r="D97" s="1"/>
      <c r="E97" s="1"/>
    </row>
    <row r="98" spans="2:5" x14ac:dyDescent="0.3">
      <c r="B98" s="1">
        <v>6.3333336500000004E-2</v>
      </c>
      <c r="C98" s="8">
        <f>'Motion Profile'!G98</f>
        <v>7.40001335976</v>
      </c>
      <c r="D98" s="1"/>
      <c r="E98" s="1"/>
    </row>
    <row r="99" spans="2:5" x14ac:dyDescent="0.3">
      <c r="B99" s="1">
        <v>6.4000003200000002E-2</v>
      </c>
      <c r="C99" s="8">
        <f>'Motion Profile'!G99</f>
        <v>7.9760050460900001</v>
      </c>
      <c r="D99" s="1"/>
      <c r="E99" s="1"/>
    </row>
    <row r="100" spans="2:5" x14ac:dyDescent="0.3">
      <c r="B100" s="1">
        <v>6.4666669900000001E-2</v>
      </c>
      <c r="C100" s="8">
        <f>'Motion Profile'!G100</f>
        <v>8.4239955932059996</v>
      </c>
      <c r="D100" s="1"/>
      <c r="E100" s="1"/>
    </row>
    <row r="101" spans="2:5" x14ac:dyDescent="0.3">
      <c r="B101" s="1">
        <v>6.53333366E-2</v>
      </c>
      <c r="C101" s="8">
        <f>'Motion Profile'!G101</f>
        <v>8.7439850011119997</v>
      </c>
      <c r="D101" s="1"/>
      <c r="E101" s="1"/>
    </row>
    <row r="102" spans="2:5" x14ac:dyDescent="0.3">
      <c r="B102" s="1">
        <v>6.6000003299999999E-2</v>
      </c>
      <c r="C102" s="8">
        <f>'Motion Profile'!G102</f>
        <v>8.9359732698084002</v>
      </c>
      <c r="D102" s="1"/>
      <c r="E102" s="1"/>
    </row>
    <row r="103" spans="2:5" x14ac:dyDescent="0.3">
      <c r="B103" s="1">
        <v>6.6666669999999997E-2</v>
      </c>
      <c r="C103" s="8">
        <f>'Motion Profile'!G103</f>
        <v>8.9999603990122345</v>
      </c>
      <c r="D103" s="1"/>
      <c r="E103" s="1"/>
    </row>
  </sheetData>
  <mergeCells count="1">
    <mergeCell ref="D1:E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9C1CC-FE70-4367-BC23-BF976E2DFE9D}">
  <dimension ref="A1:H103"/>
  <sheetViews>
    <sheetView zoomScaleNormal="100" workbookViewId="0">
      <selection activeCell="AA19" sqref="AA19"/>
    </sheetView>
  </sheetViews>
  <sheetFormatPr defaultColWidth="8.6640625" defaultRowHeight="14.4" x14ac:dyDescent="0.3"/>
  <cols>
    <col min="3" max="3" width="12" bestFit="1" customWidth="1"/>
    <col min="4" max="4" width="12.6640625" bestFit="1" customWidth="1"/>
    <col min="5" max="5" width="11" bestFit="1" customWidth="1"/>
    <col min="6" max="6" width="12.21875" bestFit="1" customWidth="1"/>
    <col min="7" max="7" width="2.5546875" customWidth="1"/>
    <col min="8" max="8" width="18.21875" bestFit="1" customWidth="1"/>
  </cols>
  <sheetData>
    <row r="1" spans="1:8" x14ac:dyDescent="0.3">
      <c r="A1" s="5"/>
      <c r="B1" s="5"/>
      <c r="C1" s="5"/>
      <c r="D1" s="6"/>
      <c r="E1" s="6"/>
      <c r="F1" s="5"/>
    </row>
    <row r="2" spans="1:8" x14ac:dyDescent="0.3">
      <c r="B2" s="1" t="s">
        <v>0</v>
      </c>
      <c r="C2" s="1" t="s">
        <v>7</v>
      </c>
      <c r="D2" s="1" t="s">
        <v>2</v>
      </c>
      <c r="E2" s="1" t="s">
        <v>4</v>
      </c>
      <c r="F2" s="4" t="s">
        <v>3</v>
      </c>
      <c r="H2" s="1" t="s">
        <v>11</v>
      </c>
    </row>
    <row r="3" spans="1:8" x14ac:dyDescent="0.3">
      <c r="B3" s="1">
        <v>0</v>
      </c>
      <c r="C3" s="8">
        <f>'Motion Profile'!G3</f>
        <v>9</v>
      </c>
      <c r="D3" s="2">
        <v>-512.66406283599997</v>
      </c>
      <c r="E3" s="2">
        <v>5.4420210073999997E-6</v>
      </c>
      <c r="F3" s="7">
        <v>3.2906214050000003E-11</v>
      </c>
      <c r="H3" s="8">
        <f>D3/2</f>
        <v>-256.33203141799999</v>
      </c>
    </row>
    <row r="4" spans="1:8" x14ac:dyDescent="0.3">
      <c r="B4" s="1">
        <v>6.6666670000000003E-4</v>
      </c>
      <c r="C4" s="8">
        <f>'Motion Profile'!G4</f>
        <v>8.9103999982079998</v>
      </c>
      <c r="D4" s="2">
        <v>-488.22774226799999</v>
      </c>
      <c r="E4" s="2">
        <v>-0.48734725933200002</v>
      </c>
      <c r="F4" s="7">
        <v>0.26389411006000002</v>
      </c>
      <c r="H4" s="8">
        <f t="shared" ref="H4:H53" si="0">D4/2</f>
        <v>-244.11387113399999</v>
      </c>
    </row>
    <row r="5" spans="1:8" x14ac:dyDescent="0.3">
      <c r="B5" s="1">
        <v>1.3333334000000001E-3</v>
      </c>
      <c r="C5" s="8">
        <f>'Motion Profile'!G5</f>
        <v>8.6415999928319991</v>
      </c>
      <c r="D5" s="2">
        <v>-410.41924181500002</v>
      </c>
      <c r="E5" s="2">
        <v>-1.72722849115</v>
      </c>
      <c r="F5" s="7">
        <v>4.5139840924700003</v>
      </c>
      <c r="H5" s="8">
        <f t="shared" si="0"/>
        <v>-205.20962090750001</v>
      </c>
    </row>
    <row r="6" spans="1:8" x14ac:dyDescent="0.3">
      <c r="B6" s="1">
        <v>2.0000001000000001E-3</v>
      </c>
      <c r="C6" s="8">
        <f>'Motion Profile'!G6</f>
        <v>8.1935999838719997</v>
      </c>
      <c r="D6" s="2">
        <v>-261.77001843800002</v>
      </c>
      <c r="E6" s="2">
        <v>-3.0954634598799999</v>
      </c>
      <c r="F6" s="7">
        <v>19.9019833037</v>
      </c>
      <c r="H6" s="8">
        <f t="shared" si="0"/>
        <v>-130.88500921900001</v>
      </c>
    </row>
    <row r="7" spans="1:8" x14ac:dyDescent="0.3">
      <c r="B7" s="1">
        <v>2.6666668000000001E-3</v>
      </c>
      <c r="C7" s="8">
        <f>'Motion Profile'!G7</f>
        <v>7.5663999713300001</v>
      </c>
      <c r="D7" s="2">
        <v>-14.043589426500001</v>
      </c>
      <c r="E7" s="2">
        <v>-3.6830683200799998</v>
      </c>
      <c r="F7" s="7">
        <v>38.386321874399997</v>
      </c>
      <c r="H7" s="8">
        <f t="shared" si="0"/>
        <v>-7.0217947132500003</v>
      </c>
    </row>
    <row r="8" spans="1:8" x14ac:dyDescent="0.3">
      <c r="B8" s="1">
        <v>3.3333335000000001E-3</v>
      </c>
      <c r="C8" s="8">
        <f>'Motion Profile'!G8</f>
        <v>6.7599999551999996</v>
      </c>
      <c r="D8" s="2">
        <v>307.28314026700002</v>
      </c>
      <c r="E8" s="2">
        <v>-1.9727725388199999</v>
      </c>
      <c r="F8" s="7">
        <v>27.469644200899999</v>
      </c>
      <c r="H8" s="8">
        <f t="shared" si="0"/>
        <v>153.64157013350001</v>
      </c>
    </row>
    <row r="9" spans="1:8" x14ac:dyDescent="0.3">
      <c r="B9" s="1">
        <v>4.0000002000000002E-3</v>
      </c>
      <c r="C9" s="8">
        <f>'Motion Profile'!G9</f>
        <v>5.77439993549</v>
      </c>
      <c r="D9" s="2">
        <v>610.30110874800005</v>
      </c>
      <c r="E9" s="2">
        <v>1.8678098007699999</v>
      </c>
      <c r="F9" s="7">
        <v>4.1064233989799996</v>
      </c>
      <c r="H9" s="8">
        <f t="shared" si="0"/>
        <v>305.15055437400002</v>
      </c>
    </row>
    <row r="10" spans="1:8" x14ac:dyDescent="0.3">
      <c r="B10" s="1">
        <v>4.6666668999999997E-3</v>
      </c>
      <c r="C10" s="8">
        <f>'Motion Profile'!G10</f>
        <v>4.6671998854099996</v>
      </c>
      <c r="D10" s="2">
        <v>793.92557476499996</v>
      </c>
      <c r="E10" s="2">
        <v>8.9453818863999999</v>
      </c>
      <c r="F10" s="7">
        <v>111.352047227</v>
      </c>
      <c r="H10" s="8">
        <f t="shared" si="0"/>
        <v>396.96278738249998</v>
      </c>
    </row>
    <row r="11" spans="1:8" x14ac:dyDescent="0.3">
      <c r="B11" s="1">
        <v>5.3333336000000002E-3</v>
      </c>
      <c r="C11" s="8">
        <f>'Motion Profile'!G11</f>
        <v>3.5791998290900002</v>
      </c>
      <c r="D11" s="2">
        <v>918.526325466</v>
      </c>
      <c r="E11" s="2">
        <v>18.134453411799999</v>
      </c>
      <c r="F11" s="7">
        <v>634.55318745399995</v>
      </c>
      <c r="H11" s="8">
        <f t="shared" si="0"/>
        <v>459.263162733</v>
      </c>
    </row>
    <row r="12" spans="1:8" x14ac:dyDescent="0.3">
      <c r="B12" s="1">
        <v>6.0000002999999998E-3</v>
      </c>
      <c r="C12" s="8">
        <f>'Motion Profile'!G12</f>
        <v>2.5167997763500001</v>
      </c>
      <c r="D12" s="2">
        <v>1073.58140368</v>
      </c>
      <c r="E12" s="2">
        <v>28.236187783599998</v>
      </c>
      <c r="F12" s="7">
        <v>1820.2094810999999</v>
      </c>
      <c r="H12" s="8">
        <f t="shared" si="0"/>
        <v>536.79070184</v>
      </c>
    </row>
    <row r="13" spans="1:8" x14ac:dyDescent="0.3">
      <c r="B13" s="1">
        <v>6.6666670000000003E-3</v>
      </c>
      <c r="C13" s="8">
        <f>'Motion Profile'!G13</f>
        <v>1.4799997272000001</v>
      </c>
      <c r="D13" s="2">
        <v>1269.19601364</v>
      </c>
      <c r="E13" s="2">
        <v>37.981532890700002</v>
      </c>
      <c r="F13" s="7">
        <v>3680.3698181</v>
      </c>
      <c r="H13" s="8">
        <f t="shared" si="0"/>
        <v>634.59800682000002</v>
      </c>
    </row>
    <row r="14" spans="1:8" x14ac:dyDescent="0.3">
      <c r="B14" s="1">
        <v>7.3333336999999998E-3</v>
      </c>
      <c r="C14" s="8">
        <f>'Motion Profile'!G14</f>
        <v>0.4687996816299993</v>
      </c>
      <c r="D14" s="2">
        <v>1457.8424303300001</v>
      </c>
      <c r="E14" s="2">
        <v>46.664580487899997</v>
      </c>
      <c r="F14" s="7">
        <v>5991.7469016300001</v>
      </c>
      <c r="H14" s="8">
        <f t="shared" si="0"/>
        <v>728.92121516500004</v>
      </c>
    </row>
    <row r="15" spans="1:8" x14ac:dyDescent="0.3">
      <c r="B15" s="1">
        <v>8.0000004000000003E-3</v>
      </c>
      <c r="C15" s="8">
        <f>'Motion Profile'!G15</f>
        <v>-0.51680036035000043</v>
      </c>
      <c r="D15" s="2">
        <v>1585.75774505</v>
      </c>
      <c r="E15" s="2">
        <v>54.084114424799999</v>
      </c>
      <c r="F15" s="7">
        <v>8473.8744621400001</v>
      </c>
      <c r="H15" s="8">
        <f t="shared" si="0"/>
        <v>792.87887252500002</v>
      </c>
    </row>
    <row r="16" spans="1:8" x14ac:dyDescent="0.3">
      <c r="B16" s="1">
        <v>8.6666671000000008E-3</v>
      </c>
      <c r="C16" s="8">
        <f>'Motion Profile'!G16</f>
        <v>-1.4768003988</v>
      </c>
      <c r="D16" s="2">
        <v>1619.2512838800001</v>
      </c>
      <c r="E16" s="2">
        <v>60.047749984200003</v>
      </c>
      <c r="F16" s="7">
        <v>10864.947880399999</v>
      </c>
      <c r="H16" s="8">
        <f t="shared" si="0"/>
        <v>809.62564194000004</v>
      </c>
    </row>
    <row r="17" spans="2:8" x14ac:dyDescent="0.3">
      <c r="B17" s="1">
        <v>9.3333337999999995E-3</v>
      </c>
      <c r="C17" s="8">
        <f>'Motion Profile'!G17</f>
        <v>-2.4112004335999995</v>
      </c>
      <c r="D17" s="2">
        <v>1532.7633406</v>
      </c>
      <c r="E17" s="2">
        <v>64.426994170200004</v>
      </c>
      <c r="F17" s="7">
        <v>12916.962104599999</v>
      </c>
      <c r="H17" s="8">
        <f t="shared" si="0"/>
        <v>766.3816703</v>
      </c>
    </row>
    <row r="18" spans="2:8" x14ac:dyDescent="0.3">
      <c r="B18" s="1">
        <v>1.00000005E-2</v>
      </c>
      <c r="C18" s="8">
        <f>'Motion Profile'!G18</f>
        <v>-3.3200004647999997</v>
      </c>
      <c r="D18" s="2">
        <v>1339.07322131</v>
      </c>
      <c r="E18" s="2">
        <v>67.195267818100007</v>
      </c>
      <c r="F18" s="7">
        <v>14439.1452477</v>
      </c>
      <c r="H18" s="8">
        <f t="shared" si="0"/>
        <v>669.536610655</v>
      </c>
    </row>
    <row r="19" spans="2:8" x14ac:dyDescent="0.3">
      <c r="B19" s="1">
        <v>1.06666672E-2</v>
      </c>
      <c r="C19" s="8">
        <f>'Motion Profile'!G19</f>
        <v>-4.2032004924000006</v>
      </c>
      <c r="D19" s="2">
        <v>1070.73842562</v>
      </c>
      <c r="E19" s="2">
        <v>68.5893612725</v>
      </c>
      <c r="F19" s="7">
        <v>15365.094441200001</v>
      </c>
      <c r="H19" s="8">
        <f t="shared" si="0"/>
        <v>535.36921281000002</v>
      </c>
    </row>
    <row r="20" spans="2:8" x14ac:dyDescent="0.3">
      <c r="B20" s="1">
        <v>1.1333333900000001E-2</v>
      </c>
      <c r="C20" s="8">
        <f>'Motion Profile'!G20</f>
        <v>-5.0608005165000005</v>
      </c>
      <c r="D20" s="2">
        <v>752.96336775999998</v>
      </c>
      <c r="E20" s="2">
        <v>68.975372351499999</v>
      </c>
      <c r="F20" s="7">
        <v>15770.0880043</v>
      </c>
      <c r="H20" s="8">
        <f t="shared" si="0"/>
        <v>376.48168387999999</v>
      </c>
    </row>
    <row r="21" spans="2:8" x14ac:dyDescent="0.3">
      <c r="B21" s="1">
        <v>1.20000006E-2</v>
      </c>
      <c r="C21" s="8">
        <f>'Motion Profile'!G21</f>
        <v>-5.8928005369999994</v>
      </c>
      <c r="D21" s="2">
        <v>418.18528769900001</v>
      </c>
      <c r="E21" s="2">
        <v>68.456900320599999</v>
      </c>
      <c r="F21" s="7">
        <v>15739.7659802</v>
      </c>
      <c r="H21" s="8">
        <f t="shared" si="0"/>
        <v>209.09264384950001</v>
      </c>
    </row>
    <row r="22" spans="2:8" x14ac:dyDescent="0.3">
      <c r="B22" s="1">
        <v>1.26666673E-2</v>
      </c>
      <c r="C22" s="8">
        <f>'Motion Profile'!G22</f>
        <v>-6.6960005327999994</v>
      </c>
      <c r="D22" s="2">
        <v>160.46215472200001</v>
      </c>
      <c r="E22" s="2">
        <v>66.325023098200006</v>
      </c>
      <c r="F22" s="7">
        <v>15139.734872700001</v>
      </c>
      <c r="H22" s="8">
        <f t="shared" si="0"/>
        <v>80.231077361000004</v>
      </c>
    </row>
    <row r="23" spans="2:8" x14ac:dyDescent="0.3">
      <c r="B23" s="1">
        <v>1.3333334000000001E-2</v>
      </c>
      <c r="C23" s="8">
        <f>'Motion Profile'!G23</f>
        <v>-7.400000519999999</v>
      </c>
      <c r="D23" s="2">
        <v>27.371815317799999</v>
      </c>
      <c r="E23" s="2">
        <v>62.3891578518</v>
      </c>
      <c r="F23" s="7">
        <v>13810.420046699999</v>
      </c>
      <c r="H23" s="8">
        <f t="shared" si="0"/>
        <v>13.6859076589</v>
      </c>
    </row>
    <row r="24" spans="2:8" x14ac:dyDescent="0.3">
      <c r="B24" s="1">
        <v>1.4000000699999999E-2</v>
      </c>
      <c r="C24" s="8">
        <f>'Motion Profile'!G24</f>
        <v>-7.9760005967999987</v>
      </c>
      <c r="D24" s="2">
        <v>-25.488211985500001</v>
      </c>
      <c r="E24" s="2">
        <v>57.379435192199999</v>
      </c>
      <c r="F24" s="7">
        <v>11960.734711200001</v>
      </c>
      <c r="H24" s="8">
        <f t="shared" si="0"/>
        <v>-12.744105992750001</v>
      </c>
    </row>
    <row r="25" spans="2:8" x14ac:dyDescent="0.3">
      <c r="B25" s="1">
        <v>1.46666674E-2</v>
      </c>
      <c r="C25" s="8">
        <f>'Motion Profile'!G25</f>
        <v>-8.4240007631999987</v>
      </c>
      <c r="D25" s="2">
        <v>-30.6325656006</v>
      </c>
      <c r="E25" s="2">
        <v>52.0424011255</v>
      </c>
      <c r="F25" s="7">
        <v>9985.5274227900009</v>
      </c>
      <c r="H25" s="8">
        <f t="shared" si="0"/>
        <v>-15.3162828003</v>
      </c>
    </row>
    <row r="26" spans="2:8" x14ac:dyDescent="0.3">
      <c r="B26" s="1">
        <v>1.53333341E-2</v>
      </c>
      <c r="C26" s="8">
        <f>'Motion Profile'!G26</f>
        <v>-8.7440010191999988</v>
      </c>
      <c r="D26" s="2">
        <v>-13.9575358644</v>
      </c>
      <c r="E26" s="2">
        <v>46.979362011699997</v>
      </c>
      <c r="F26" s="7">
        <v>8178.2119693000004</v>
      </c>
      <c r="H26" s="8">
        <f t="shared" si="0"/>
        <v>-6.9787679322000002</v>
      </c>
    </row>
    <row r="27" spans="2:8" x14ac:dyDescent="0.3">
      <c r="B27" s="1">
        <v>1.6000000800000001E-2</v>
      </c>
      <c r="C27" s="8">
        <f>'Motion Profile'!G27</f>
        <v>-8.9360013647999992</v>
      </c>
      <c r="D27" s="2">
        <v>18.389539554599999</v>
      </c>
      <c r="E27" s="2">
        <v>42.553478611999999</v>
      </c>
      <c r="F27" s="7">
        <v>6685.5491928600004</v>
      </c>
      <c r="H27" s="8">
        <f t="shared" si="0"/>
        <v>9.1947697772999994</v>
      </c>
    </row>
    <row r="28" spans="2:8" x14ac:dyDescent="0.3">
      <c r="B28" s="1">
        <v>1.6666667499999999E-2</v>
      </c>
      <c r="C28" s="8">
        <f>'Motion Profile'!G28</f>
        <v>-9.0000017999999997</v>
      </c>
      <c r="D28" s="2">
        <v>59.618969601899998</v>
      </c>
      <c r="E28" s="2">
        <v>38.955196969500001</v>
      </c>
      <c r="F28" s="7">
        <v>5539.9833933099999</v>
      </c>
      <c r="H28" s="8">
        <f t="shared" si="0"/>
        <v>29.809484800949999</v>
      </c>
    </row>
    <row r="29" spans="2:8" x14ac:dyDescent="0.3">
      <c r="B29" s="1">
        <v>1.7333334200000002E-2</v>
      </c>
      <c r="C29" s="8">
        <f>'Motion Profile'!G29</f>
        <v>-8.9104023197000011</v>
      </c>
      <c r="D29" s="2">
        <v>101.065687102</v>
      </c>
      <c r="E29" s="2">
        <v>36.330494606599999</v>
      </c>
      <c r="F29" s="7">
        <v>4725.1930918799999</v>
      </c>
      <c r="H29" s="8">
        <f t="shared" si="0"/>
        <v>50.532843550999999</v>
      </c>
    </row>
    <row r="30" spans="2:8" x14ac:dyDescent="0.3">
      <c r="B30" s="1">
        <v>1.80000009E-2</v>
      </c>
      <c r="C30" s="8">
        <f>'Motion Profile'!G30</f>
        <v>-8.6416025346999987</v>
      </c>
      <c r="D30" s="2">
        <v>127.35005723</v>
      </c>
      <c r="E30" s="2">
        <v>34.585537367599997</v>
      </c>
      <c r="F30" s="7">
        <v>4191.7487913000004</v>
      </c>
      <c r="H30" s="8">
        <f t="shared" si="0"/>
        <v>63.675028615000002</v>
      </c>
    </row>
    <row r="31" spans="2:8" x14ac:dyDescent="0.3">
      <c r="B31" s="1">
        <v>1.8666667599999999E-2</v>
      </c>
      <c r="C31" s="8">
        <f>'Motion Profile'!G31</f>
        <v>-8.1936024451000016</v>
      </c>
      <c r="D31" s="2">
        <v>109.773996113</v>
      </c>
      <c r="E31" s="2">
        <v>33.191727609799997</v>
      </c>
      <c r="F31" s="7">
        <v>3828.6710136400002</v>
      </c>
      <c r="H31" s="8">
        <f t="shared" si="0"/>
        <v>54.886998056499998</v>
      </c>
    </row>
    <row r="32" spans="2:8" x14ac:dyDescent="0.3">
      <c r="B32" s="1">
        <v>1.9333334300000001E-2</v>
      </c>
      <c r="C32" s="8">
        <f>'Motion Profile'!G32</f>
        <v>-7.566402050899999</v>
      </c>
      <c r="D32" s="2">
        <v>24.539305411200001</v>
      </c>
      <c r="E32" s="2">
        <v>31.283406291999999</v>
      </c>
      <c r="F32" s="7">
        <v>3465.2139903399998</v>
      </c>
      <c r="H32" s="8">
        <f t="shared" si="0"/>
        <v>12.2696527056</v>
      </c>
    </row>
    <row r="33" spans="2:8" x14ac:dyDescent="0.3">
      <c r="B33" s="1">
        <v>2.0000001E-2</v>
      </c>
      <c r="C33" s="8">
        <f>'Motion Profile'!G33</f>
        <v>-6.7600013519999997</v>
      </c>
      <c r="D33" s="2">
        <v>-120.223777437</v>
      </c>
      <c r="E33" s="2">
        <v>27.772446596000002</v>
      </c>
      <c r="F33" s="7">
        <v>2909.7522552700002</v>
      </c>
      <c r="H33" s="8">
        <f t="shared" si="0"/>
        <v>-60.111888718499998</v>
      </c>
    </row>
    <row r="34" spans="2:8" x14ac:dyDescent="0.3">
      <c r="B34" s="1">
        <v>2.0666667699999999E-2</v>
      </c>
      <c r="C34" s="8">
        <f>'Motion Profile'!G34</f>
        <v>-5.7744003485000004</v>
      </c>
      <c r="D34" s="2">
        <v>-259.490112872</v>
      </c>
      <c r="E34" s="2">
        <v>21.327390937800001</v>
      </c>
      <c r="F34" s="7">
        <v>2020.53357777</v>
      </c>
      <c r="H34" s="8">
        <f t="shared" si="0"/>
        <v>-129.745056436</v>
      </c>
    </row>
    <row r="35" spans="2:8" x14ac:dyDescent="0.3">
      <c r="B35" s="1">
        <v>2.1333334400000001E-2</v>
      </c>
      <c r="C35" s="8">
        <f>'Motion Profile'!G35</f>
        <v>-4.6672001289999994</v>
      </c>
      <c r="D35" s="2">
        <v>-340.29734938899998</v>
      </c>
      <c r="E35" s="2">
        <v>11.501170714200001</v>
      </c>
      <c r="F35" s="7">
        <v>924.91610674900005</v>
      </c>
      <c r="H35" s="8">
        <f t="shared" si="0"/>
        <v>-170.14867469449999</v>
      </c>
    </row>
    <row r="36" spans="2:8" x14ac:dyDescent="0.3">
      <c r="B36" s="1">
        <v>2.20000011E-2</v>
      </c>
      <c r="C36" s="8">
        <f>'Motion Profile'!G36</f>
        <v>-3.5792002186000005</v>
      </c>
      <c r="D36" s="2">
        <v>-411.19223606700001</v>
      </c>
      <c r="E36" s="2">
        <v>0.13245793026200001</v>
      </c>
      <c r="F36" s="7">
        <v>148.686549077</v>
      </c>
      <c r="H36" s="8">
        <f t="shared" si="0"/>
        <v>-205.59611803350001</v>
      </c>
    </row>
    <row r="37" spans="2:8" x14ac:dyDescent="0.3">
      <c r="B37" s="1">
        <v>2.2666667800000002E-2</v>
      </c>
      <c r="C37" s="8">
        <f>'Motion Profile'!G37</f>
        <v>-2.5168002902000008</v>
      </c>
      <c r="D37" s="2">
        <v>-568.90767871000003</v>
      </c>
      <c r="E37" s="2">
        <v>-11.573977667699999</v>
      </c>
      <c r="F37" s="7">
        <v>147.15715447700001</v>
      </c>
      <c r="H37" s="8">
        <f t="shared" si="0"/>
        <v>-284.45383935500001</v>
      </c>
    </row>
    <row r="38" spans="2:8" x14ac:dyDescent="0.3">
      <c r="B38" s="1">
        <v>2.33333345E-2</v>
      </c>
      <c r="C38" s="8">
        <f>'Motion Profile'!G38</f>
        <v>-1.4800003440000005</v>
      </c>
      <c r="D38" s="2">
        <v>-804.27957237299995</v>
      </c>
      <c r="E38" s="2">
        <v>-22.741867309700002</v>
      </c>
      <c r="F38" s="7">
        <v>1015.95928016</v>
      </c>
      <c r="H38" s="8">
        <f t="shared" si="0"/>
        <v>-402.13978618649998</v>
      </c>
    </row>
    <row r="39" spans="2:8" x14ac:dyDescent="0.3">
      <c r="B39" s="1">
        <v>2.4000001199999999E-2</v>
      </c>
      <c r="C39" s="8">
        <f>'Motion Profile'!G39</f>
        <v>-0.46880037983999934</v>
      </c>
      <c r="D39" s="2">
        <v>-1047.4223688100001</v>
      </c>
      <c r="E39" s="2">
        <v>-32.860707661200003</v>
      </c>
      <c r="F39" s="7">
        <v>2604.8138778399998</v>
      </c>
      <c r="H39" s="8">
        <f t="shared" si="0"/>
        <v>-523.71118440500004</v>
      </c>
    </row>
    <row r="40" spans="2:8" x14ac:dyDescent="0.3">
      <c r="B40" s="1">
        <v>2.4666667900000001E-2</v>
      </c>
      <c r="C40" s="8">
        <f>'Motion Profile'!G40</f>
        <v>0.51679960224000077</v>
      </c>
      <c r="D40" s="2">
        <v>-1225.7774429200001</v>
      </c>
      <c r="E40" s="2">
        <v>-41.655827516199999</v>
      </c>
      <c r="F40" s="7">
        <v>4648.7489382699996</v>
      </c>
      <c r="H40" s="8">
        <f t="shared" si="0"/>
        <v>-612.88872146000006</v>
      </c>
    </row>
    <row r="41" spans="2:8" x14ac:dyDescent="0.3">
      <c r="B41" s="1">
        <v>2.53333346E-2</v>
      </c>
      <c r="C41" s="8">
        <f>'Motion Profile'!G41</f>
        <v>1.4767996022399998</v>
      </c>
      <c r="D41" s="2">
        <v>-1304.7595922600001</v>
      </c>
      <c r="E41" s="2">
        <v>-48.870688449100001</v>
      </c>
      <c r="F41" s="7">
        <v>6843.6679157500002</v>
      </c>
      <c r="H41" s="8">
        <f t="shared" si="0"/>
        <v>-652.37979613000005</v>
      </c>
    </row>
    <row r="42" spans="2:8" x14ac:dyDescent="0.3">
      <c r="B42" s="1">
        <v>2.6000001299999999E-2</v>
      </c>
      <c r="C42" s="8">
        <f>'Motion Profile'!G42</f>
        <v>2.4111996201599997</v>
      </c>
      <c r="D42" s="2">
        <v>-1266.57135907</v>
      </c>
      <c r="E42" s="2">
        <v>-54.307091271300003</v>
      </c>
      <c r="F42" s="7">
        <v>8879.5880999100009</v>
      </c>
      <c r="H42" s="8">
        <f t="shared" si="0"/>
        <v>-633.28567953499999</v>
      </c>
    </row>
    <row r="43" spans="2:8" x14ac:dyDescent="0.3">
      <c r="B43" s="1">
        <v>2.6666668000000001E-2</v>
      </c>
      <c r="C43" s="8">
        <f>'Motion Profile'!G43</f>
        <v>3.3199996560000002</v>
      </c>
      <c r="D43" s="2">
        <v>-1114.6350954100001</v>
      </c>
      <c r="E43" s="2">
        <v>-58.123362306399997</v>
      </c>
      <c r="F43" s="7">
        <v>10537.884610999999</v>
      </c>
      <c r="H43" s="8">
        <f t="shared" si="0"/>
        <v>-557.31754770500004</v>
      </c>
    </row>
    <row r="44" spans="2:8" x14ac:dyDescent="0.3">
      <c r="B44" s="1">
        <v>2.73333347E-2</v>
      </c>
      <c r="C44" s="8">
        <f>'Motion Profile'!G44</f>
        <v>4.2031997097599998</v>
      </c>
      <c r="D44" s="2">
        <v>-879.49282409900002</v>
      </c>
      <c r="E44" s="2">
        <v>-60.444787003999998</v>
      </c>
      <c r="F44" s="7">
        <v>11716.835306999999</v>
      </c>
      <c r="H44" s="8">
        <f t="shared" si="0"/>
        <v>-439.74641204950001</v>
      </c>
    </row>
    <row r="45" spans="2:8" x14ac:dyDescent="0.3">
      <c r="B45" s="1">
        <v>2.8000001399999998E-2</v>
      </c>
      <c r="C45" s="8">
        <f>'Motion Profile'!G45</f>
        <v>5.0607997814400001</v>
      </c>
      <c r="D45" s="2">
        <v>-587.58967289199995</v>
      </c>
      <c r="E45" s="2">
        <v>-61.836446915499998</v>
      </c>
      <c r="F45" s="7">
        <v>12461.1214511</v>
      </c>
      <c r="H45" s="8">
        <f t="shared" si="0"/>
        <v>-293.79483644599998</v>
      </c>
    </row>
    <row r="46" spans="2:8" x14ac:dyDescent="0.3">
      <c r="B46" s="1">
        <v>2.8666668100000001E-2</v>
      </c>
      <c r="C46" s="8">
        <f>'Motion Profile'!G46</f>
        <v>5.8927998710399994</v>
      </c>
      <c r="D46" s="2">
        <v>-281.96940470599998</v>
      </c>
      <c r="E46" s="2">
        <v>-61.833809191500002</v>
      </c>
      <c r="F46" s="7">
        <v>12745.2768732</v>
      </c>
      <c r="H46" s="8">
        <f t="shared" si="0"/>
        <v>-140.98470235299999</v>
      </c>
    </row>
    <row r="47" spans="2:8" x14ac:dyDescent="0.3">
      <c r="B47" s="1">
        <v>2.9333334799999999E-2</v>
      </c>
      <c r="C47" s="8">
        <f>'Motion Profile'!G47</f>
        <v>6.6960000144</v>
      </c>
      <c r="D47" s="2">
        <v>-81.930225671499997</v>
      </c>
      <c r="E47" s="2">
        <v>-60.019749859299999</v>
      </c>
      <c r="F47" s="7">
        <v>12374.488992000001</v>
      </c>
      <c r="H47" s="8">
        <f t="shared" si="0"/>
        <v>-40.965112835749999</v>
      </c>
    </row>
    <row r="48" spans="2:8" x14ac:dyDescent="0.3">
      <c r="B48" s="1">
        <v>3.0000001500000002E-2</v>
      </c>
      <c r="C48" s="8">
        <f>'Motion Profile'!G48</f>
        <v>7.3999995599999995</v>
      </c>
      <c r="D48" s="2">
        <v>6.2955011231300002</v>
      </c>
      <c r="E48" s="2">
        <v>-57.191247708399999</v>
      </c>
      <c r="F48" s="7">
        <v>11450.9039658</v>
      </c>
      <c r="H48" s="8">
        <f t="shared" si="0"/>
        <v>3.1477505615650001</v>
      </c>
    </row>
    <row r="49" spans="2:8" x14ac:dyDescent="0.3">
      <c r="B49" s="1">
        <v>3.06666682E-2</v>
      </c>
      <c r="C49" s="8">
        <f>'Motion Profile'!G49</f>
        <v>7.9759979663799996</v>
      </c>
      <c r="D49" s="2">
        <v>32.611531981500001</v>
      </c>
      <c r="E49" s="2">
        <v>-52.374920635099997</v>
      </c>
      <c r="F49" s="7">
        <v>10010.3979841</v>
      </c>
      <c r="H49" s="8">
        <f t="shared" si="0"/>
        <v>16.30576599075</v>
      </c>
    </row>
    <row r="50" spans="2:8" x14ac:dyDescent="0.3">
      <c r="B50" s="1">
        <v>3.1333334900000002E-2</v>
      </c>
      <c r="C50" s="8">
        <f>'Motion Profile'!G50</f>
        <v>8.4239952335569992</v>
      </c>
      <c r="D50" s="2">
        <v>22.936095693599999</v>
      </c>
      <c r="E50" s="2">
        <v>-47.287281971399999</v>
      </c>
      <c r="F50" s="7">
        <v>8284.3188756300005</v>
      </c>
      <c r="H50" s="8">
        <f t="shared" si="0"/>
        <v>11.468047846799999</v>
      </c>
    </row>
    <row r="51" spans="2:8" x14ac:dyDescent="0.3">
      <c r="B51" s="1">
        <v>3.2000001600000001E-2</v>
      </c>
      <c r="C51" s="8">
        <f>'Motion Profile'!G51</f>
        <v>8.7439913615229994</v>
      </c>
      <c r="D51" s="2">
        <v>-6.3923125949699999</v>
      </c>
      <c r="E51" s="2">
        <v>-42.479151936800001</v>
      </c>
      <c r="F51" s="7">
        <v>6721.4322456199998</v>
      </c>
      <c r="H51" s="8">
        <f t="shared" si="0"/>
        <v>-3.196156297485</v>
      </c>
    </row>
    <row r="52" spans="2:8" x14ac:dyDescent="0.3">
      <c r="B52" s="1">
        <v>3.26666683E-2</v>
      </c>
      <c r="C52" s="8">
        <f>'Motion Profile'!G52</f>
        <v>8.9359863502780996</v>
      </c>
      <c r="D52" s="2">
        <v>-45.922552182099999</v>
      </c>
      <c r="E52" s="2">
        <v>-38.245531216800003</v>
      </c>
      <c r="F52" s="7">
        <v>5435.3741542099997</v>
      </c>
      <c r="H52" s="8">
        <f t="shared" si="0"/>
        <v>-22.961276091049999</v>
      </c>
    </row>
    <row r="53" spans="2:8" x14ac:dyDescent="0.3">
      <c r="B53" s="1">
        <v>3.3333334999999999E-2</v>
      </c>
      <c r="C53" s="8">
        <f>'Motion Profile'!G53</f>
        <v>8.99998019975307</v>
      </c>
      <c r="D53" s="2">
        <v>-70.465408337400007</v>
      </c>
      <c r="E53" s="2">
        <v>-34.080039520600003</v>
      </c>
      <c r="F53" s="7">
        <v>4363.9766301500003</v>
      </c>
      <c r="H53" s="8">
        <f t="shared" si="0"/>
        <v>-35.232704168700003</v>
      </c>
    </row>
    <row r="54" spans="2:8" x14ac:dyDescent="0.3">
      <c r="B54" s="1">
        <v>3.4000001699999997E-2</v>
      </c>
      <c r="C54" s="8">
        <f>'Motion Profile'!G54</f>
        <v>8.9103707899613998</v>
      </c>
      <c r="D54" s="1"/>
      <c r="E54" s="1"/>
    </row>
    <row r="55" spans="2:8" x14ac:dyDescent="0.3">
      <c r="B55" s="1">
        <v>3.4666668400000003E-2</v>
      </c>
      <c r="C55" s="8">
        <f>'Motion Profile'!G55</f>
        <v>8.6415613765860009</v>
      </c>
      <c r="D55" s="1"/>
      <c r="E55" s="1"/>
    </row>
    <row r="56" spans="2:8" x14ac:dyDescent="0.3">
      <c r="B56" s="1">
        <v>3.5333335100000002E-2</v>
      </c>
      <c r="C56" s="8">
        <f>'Motion Profile'!G56</f>
        <v>8.1935519596259994</v>
      </c>
      <c r="D56" s="1"/>
      <c r="E56" s="1"/>
    </row>
    <row r="57" spans="2:8" x14ac:dyDescent="0.3">
      <c r="B57" s="1">
        <v>3.60000018E-2</v>
      </c>
      <c r="C57" s="8">
        <f>'Motion Profile'!G57</f>
        <v>7.5663425390799999</v>
      </c>
      <c r="D57" s="1"/>
      <c r="E57" s="1"/>
    </row>
    <row r="58" spans="2:8" x14ac:dyDescent="0.3">
      <c r="B58" s="1">
        <v>3.6666668499999999E-2</v>
      </c>
      <c r="C58" s="8">
        <f>'Motion Profile'!G58</f>
        <v>6.7599331149499999</v>
      </c>
      <c r="D58" s="1"/>
      <c r="E58" s="1"/>
    </row>
    <row r="59" spans="2:8" x14ac:dyDescent="0.3">
      <c r="B59" s="1">
        <v>3.7333335199999998E-2</v>
      </c>
      <c r="C59" s="8">
        <f>'Motion Profile'!G59</f>
        <v>5.7743236872399999</v>
      </c>
      <c r="D59" s="1"/>
      <c r="E59" s="1"/>
    </row>
    <row r="60" spans="2:8" x14ac:dyDescent="0.3">
      <c r="B60" s="1">
        <v>3.8000001899999997E-2</v>
      </c>
      <c r="C60" s="8">
        <f>'Motion Profile'!G60</f>
        <v>4.6671222934400003</v>
      </c>
      <c r="D60" s="1"/>
      <c r="E60" s="1"/>
    </row>
    <row r="61" spans="2:8" x14ac:dyDescent="0.3">
      <c r="B61" s="1">
        <v>3.8666668600000002E-2</v>
      </c>
      <c r="C61" s="8">
        <f>'Motion Profile'!G61</f>
        <v>3.5791235811200002</v>
      </c>
      <c r="D61" s="1"/>
      <c r="E61" s="1"/>
    </row>
    <row r="62" spans="2:8" x14ac:dyDescent="0.3">
      <c r="B62" s="1">
        <v>3.9333335300000001E-2</v>
      </c>
      <c r="C62" s="8">
        <f>'Motion Profile'!G62</f>
        <v>2.5167248723900002</v>
      </c>
      <c r="D62" s="1"/>
      <c r="E62" s="1"/>
    </row>
    <row r="63" spans="2:8" x14ac:dyDescent="0.3">
      <c r="B63" s="1">
        <v>4.0000002E-2</v>
      </c>
      <c r="C63" s="8">
        <f>'Motion Profile'!G63</f>
        <v>1.4799261672400004</v>
      </c>
      <c r="D63" s="1"/>
      <c r="E63" s="1"/>
    </row>
    <row r="64" spans="2:8" x14ac:dyDescent="0.3">
      <c r="B64" s="1">
        <v>4.0666668699999999E-2</v>
      </c>
      <c r="C64" s="8">
        <f>'Motion Profile'!G64</f>
        <v>0.46872746566999979</v>
      </c>
      <c r="D64" s="1"/>
      <c r="E64" s="1"/>
    </row>
    <row r="65" spans="2:5" x14ac:dyDescent="0.3">
      <c r="B65" s="1">
        <v>4.1333335399999997E-2</v>
      </c>
      <c r="C65" s="8">
        <f>'Motion Profile'!G65</f>
        <v>-0.51687123231999976</v>
      </c>
      <c r="D65" s="1"/>
      <c r="E65" s="1"/>
    </row>
    <row r="66" spans="2:5" x14ac:dyDescent="0.3">
      <c r="B66" s="1">
        <v>4.2000002100000003E-2</v>
      </c>
      <c r="C66" s="8">
        <f>'Motion Profile'!G66</f>
        <v>-1.4768699266999992</v>
      </c>
      <c r="D66" s="1"/>
      <c r="E66" s="1"/>
    </row>
    <row r="67" spans="2:5" x14ac:dyDescent="0.3">
      <c r="B67" s="1">
        <v>4.2666668800000002E-2</v>
      </c>
      <c r="C67" s="8">
        <f>'Motion Profile'!G67</f>
        <v>-2.4112686174999993</v>
      </c>
      <c r="D67" s="1"/>
      <c r="E67" s="1"/>
    </row>
    <row r="68" spans="2:5" x14ac:dyDescent="0.3">
      <c r="B68" s="1">
        <v>4.33333355E-2</v>
      </c>
      <c r="C68" s="8">
        <f>'Motion Profile'!G68</f>
        <v>-3.3200673048000002</v>
      </c>
      <c r="D68" s="1"/>
      <c r="E68" s="1"/>
    </row>
    <row r="69" spans="2:5" x14ac:dyDescent="0.3">
      <c r="B69" s="1">
        <v>4.4000002199999999E-2</v>
      </c>
      <c r="C69" s="8">
        <f>'Motion Profile'!G69</f>
        <v>-4.2032659884000001</v>
      </c>
      <c r="D69" s="1"/>
      <c r="E69" s="1"/>
    </row>
    <row r="70" spans="2:5" x14ac:dyDescent="0.3">
      <c r="B70" s="1">
        <v>4.4666668899999998E-2</v>
      </c>
      <c r="C70" s="8">
        <f>'Motion Profile'!G70</f>
        <v>-5.0608646685000007</v>
      </c>
      <c r="D70" s="1"/>
      <c r="E70" s="1"/>
    </row>
    <row r="71" spans="2:5" x14ac:dyDescent="0.3">
      <c r="B71" s="1">
        <v>4.5333335600000003E-2</v>
      </c>
      <c r="C71" s="8">
        <f>'Motion Profile'!G71</f>
        <v>-5.8928633450000003</v>
      </c>
      <c r="D71" s="1"/>
      <c r="E71" s="1"/>
    </row>
    <row r="72" spans="2:5" x14ac:dyDescent="0.3">
      <c r="B72" s="1">
        <v>4.6000002300000002E-2</v>
      </c>
      <c r="C72" s="8">
        <f>'Motion Profile'!G72</f>
        <v>-6.6960606525999999</v>
      </c>
      <c r="D72" s="1"/>
      <c r="E72" s="1"/>
    </row>
    <row r="73" spans="2:5" x14ac:dyDescent="0.3">
      <c r="B73" s="1">
        <v>4.6666669000000001E-2</v>
      </c>
      <c r="C73" s="8">
        <f>'Motion Profile'!G73</f>
        <v>-7.4000539198000013</v>
      </c>
      <c r="D73" s="1"/>
      <c r="E73" s="1"/>
    </row>
    <row r="74" spans="2:5" x14ac:dyDescent="0.3">
      <c r="B74" s="1">
        <v>4.73333357E-2</v>
      </c>
      <c r="C74" s="8">
        <f>'Motion Profile'!G74</f>
        <v>-7.9760472765999992</v>
      </c>
      <c r="D74" s="1"/>
      <c r="E74" s="1"/>
    </row>
    <row r="75" spans="2:5" x14ac:dyDescent="0.3">
      <c r="B75" s="1">
        <v>4.8000002399999998E-2</v>
      </c>
      <c r="C75" s="8">
        <f>'Motion Profile'!G75</f>
        <v>-8.424040723000001</v>
      </c>
      <c r="D75" s="1"/>
      <c r="E75" s="1"/>
    </row>
    <row r="76" spans="2:5" x14ac:dyDescent="0.3">
      <c r="B76" s="1">
        <v>4.8666669099999997E-2</v>
      </c>
      <c r="C76" s="8">
        <f>'Motion Profile'!G76</f>
        <v>-8.7440342589999993</v>
      </c>
      <c r="D76" s="1"/>
      <c r="E76" s="1"/>
    </row>
    <row r="77" spans="2:5" x14ac:dyDescent="0.3">
      <c r="B77" s="1">
        <v>4.9333335800000003E-2</v>
      </c>
      <c r="C77" s="8">
        <f>'Motion Profile'!G77</f>
        <v>-8.9360278846000014</v>
      </c>
      <c r="D77" s="1"/>
      <c r="E77" s="1"/>
    </row>
    <row r="78" spans="2:5" x14ac:dyDescent="0.3">
      <c r="B78" s="1">
        <v>5.0000002500000001E-2</v>
      </c>
      <c r="C78" s="8">
        <f>'Motion Profile'!G78</f>
        <v>-9.0000215998000002</v>
      </c>
      <c r="D78" s="1"/>
      <c r="E78" s="1"/>
    </row>
    <row r="79" spans="2:5" x14ac:dyDescent="0.3">
      <c r="B79" s="1">
        <v>5.06666692E-2</v>
      </c>
      <c r="C79" s="8">
        <f>'Motion Profile'!G79</f>
        <v>-8.9104127115000011</v>
      </c>
      <c r="D79" s="1"/>
      <c r="E79" s="1"/>
    </row>
    <row r="80" spans="2:5" x14ac:dyDescent="0.3">
      <c r="B80" s="1">
        <v>5.1333335899999999E-2</v>
      </c>
      <c r="C80" s="8">
        <f>'Motion Profile'!G80</f>
        <v>-8.6416035184999984</v>
      </c>
      <c r="D80" s="1"/>
      <c r="E80" s="1"/>
    </row>
    <row r="81" spans="2:5" x14ac:dyDescent="0.3">
      <c r="B81" s="1">
        <v>5.2000002599999998E-2</v>
      </c>
      <c r="C81" s="8">
        <f>'Motion Profile'!G81</f>
        <v>-8.1935940209000009</v>
      </c>
      <c r="D81" s="1"/>
      <c r="E81" s="1"/>
    </row>
    <row r="82" spans="2:5" x14ac:dyDescent="0.3">
      <c r="B82" s="1">
        <v>5.2666669300000003E-2</v>
      </c>
      <c r="C82" s="8">
        <f>'Motion Profile'!G82</f>
        <v>-7.5663842185999997</v>
      </c>
      <c r="D82" s="1"/>
      <c r="E82" s="1"/>
    </row>
    <row r="83" spans="2:5" x14ac:dyDescent="0.3">
      <c r="B83" s="1">
        <v>5.3333336000000002E-2</v>
      </c>
      <c r="C83" s="8">
        <f>'Motion Profile'!G83</f>
        <v>-6.7599741117000001</v>
      </c>
      <c r="D83" s="1"/>
      <c r="E83" s="1"/>
    </row>
    <row r="84" spans="2:5" x14ac:dyDescent="0.3">
      <c r="B84" s="1">
        <v>5.4000002700000001E-2</v>
      </c>
      <c r="C84" s="8">
        <f>'Motion Profile'!G84</f>
        <v>-5.7743637002000003</v>
      </c>
      <c r="D84" s="1"/>
      <c r="E84" s="1"/>
    </row>
    <row r="85" spans="2:5" x14ac:dyDescent="0.3">
      <c r="B85" s="1">
        <v>5.4666669399999999E-2</v>
      </c>
      <c r="C85" s="8">
        <f>'Motion Profile'!G85</f>
        <v>-4.667162137</v>
      </c>
      <c r="D85" s="1"/>
      <c r="E85" s="1"/>
    </row>
    <row r="86" spans="2:5" x14ac:dyDescent="0.3">
      <c r="B86" s="1">
        <v>5.5333336099999998E-2</v>
      </c>
      <c r="C86" s="8">
        <f>'Motion Profile'!G86</f>
        <v>-3.5791635706000005</v>
      </c>
      <c r="D86" s="1"/>
      <c r="E86" s="1"/>
    </row>
    <row r="87" spans="2:5" x14ac:dyDescent="0.3">
      <c r="B87" s="1">
        <v>5.6000002799999997E-2</v>
      </c>
      <c r="C87" s="8">
        <f>'Motion Profile'!G87</f>
        <v>-2.5167649863000001</v>
      </c>
      <c r="D87" s="1"/>
      <c r="E87" s="1"/>
    </row>
    <row r="88" spans="2:5" x14ac:dyDescent="0.3">
      <c r="B88" s="1">
        <v>5.6666669500000003E-2</v>
      </c>
      <c r="C88" s="8">
        <f>'Motion Profile'!G88</f>
        <v>-1.4799663840000008</v>
      </c>
      <c r="D88" s="1"/>
      <c r="E88" s="1"/>
    </row>
    <row r="89" spans="2:5" x14ac:dyDescent="0.3">
      <c r="B89" s="1">
        <v>5.7333336200000001E-2</v>
      </c>
      <c r="C89" s="8">
        <f>'Motion Profile'!G89</f>
        <v>-0.46876776388000074</v>
      </c>
      <c r="D89" s="1"/>
      <c r="E89" s="1"/>
    </row>
    <row r="90" spans="2:5" x14ac:dyDescent="0.3">
      <c r="B90" s="1">
        <v>5.80000029E-2</v>
      </c>
      <c r="C90" s="8">
        <f>'Motion Profile'!G90</f>
        <v>0.51683087420000007</v>
      </c>
      <c r="D90" s="1"/>
      <c r="E90" s="1"/>
    </row>
    <row r="91" spans="2:5" x14ac:dyDescent="0.3">
      <c r="B91" s="1">
        <v>5.8666669599999999E-2</v>
      </c>
      <c r="C91" s="8">
        <f>'Motion Profile'!G91</f>
        <v>1.4768295301999999</v>
      </c>
      <c r="D91" s="1"/>
      <c r="E91" s="1"/>
    </row>
    <row r="92" spans="2:5" x14ac:dyDescent="0.3">
      <c r="B92" s="1">
        <v>5.9333336299999997E-2</v>
      </c>
      <c r="C92" s="8">
        <f>'Motion Profile'!G92</f>
        <v>2.4112282041200004</v>
      </c>
      <c r="D92" s="1"/>
      <c r="E92" s="1"/>
    </row>
    <row r="93" spans="2:5" x14ac:dyDescent="0.3">
      <c r="B93" s="1">
        <v>6.0000003000000003E-2</v>
      </c>
      <c r="C93" s="8">
        <f>'Motion Profile'!G93</f>
        <v>3.3200268959599999</v>
      </c>
      <c r="D93" s="1"/>
      <c r="E93" s="1"/>
    </row>
    <row r="94" spans="2:5" x14ac:dyDescent="0.3">
      <c r="B94" s="1">
        <v>6.0666669700000002E-2</v>
      </c>
      <c r="C94" s="8">
        <f>'Motion Profile'!G94</f>
        <v>4.2032256057300001</v>
      </c>
      <c r="D94" s="1"/>
      <c r="E94" s="1"/>
    </row>
    <row r="95" spans="2:5" x14ac:dyDescent="0.3">
      <c r="B95" s="1">
        <v>6.1333336400000001E-2</v>
      </c>
      <c r="C95" s="8">
        <f>'Motion Profile'!G95</f>
        <v>5.0608243334100003</v>
      </c>
      <c r="D95" s="1"/>
      <c r="E95" s="1"/>
    </row>
    <row r="96" spans="2:5" x14ac:dyDescent="0.3">
      <c r="B96" s="1">
        <v>6.2000003099999999E-2</v>
      </c>
      <c r="C96" s="8">
        <f>'Motion Profile'!G96</f>
        <v>5.8928230790100002</v>
      </c>
      <c r="D96" s="1"/>
      <c r="E96" s="1"/>
    </row>
    <row r="97" spans="2:5" x14ac:dyDescent="0.3">
      <c r="B97" s="1">
        <v>6.2666669800000005E-2</v>
      </c>
      <c r="C97" s="8">
        <f>'Motion Profile'!G97</f>
        <v>6.6960205342299997</v>
      </c>
      <c r="D97" s="1"/>
      <c r="E97" s="1"/>
    </row>
    <row r="98" spans="2:5" x14ac:dyDescent="0.3">
      <c r="B98" s="1">
        <v>6.3333336500000004E-2</v>
      </c>
      <c r="C98" s="8">
        <f>'Motion Profile'!G98</f>
        <v>7.40001335976</v>
      </c>
      <c r="D98" s="1"/>
      <c r="E98" s="1"/>
    </row>
    <row r="99" spans="2:5" x14ac:dyDescent="0.3">
      <c r="B99" s="1">
        <v>6.4000003200000002E-2</v>
      </c>
      <c r="C99" s="8">
        <f>'Motion Profile'!G99</f>
        <v>7.9760050460900001</v>
      </c>
      <c r="D99" s="1"/>
      <c r="E99" s="1"/>
    </row>
    <row r="100" spans="2:5" x14ac:dyDescent="0.3">
      <c r="B100" s="1">
        <v>6.4666669900000001E-2</v>
      </c>
      <c r="C100" s="8">
        <f>'Motion Profile'!G100</f>
        <v>8.4239955932059996</v>
      </c>
      <c r="D100" s="1"/>
      <c r="E100" s="1"/>
    </row>
    <row r="101" spans="2:5" x14ac:dyDescent="0.3">
      <c r="B101" s="1">
        <v>6.53333366E-2</v>
      </c>
      <c r="C101" s="8">
        <f>'Motion Profile'!G101</f>
        <v>8.7439850011119997</v>
      </c>
      <c r="D101" s="1"/>
      <c r="E101" s="1"/>
    </row>
    <row r="102" spans="2:5" x14ac:dyDescent="0.3">
      <c r="B102" s="1">
        <v>6.6000003299999999E-2</v>
      </c>
      <c r="C102" s="8">
        <f>'Motion Profile'!G102</f>
        <v>8.9359732698084002</v>
      </c>
      <c r="D102" s="1"/>
      <c r="E102" s="1"/>
    </row>
    <row r="103" spans="2:5" x14ac:dyDescent="0.3">
      <c r="B103" s="1">
        <v>6.6666669999999997E-2</v>
      </c>
      <c r="C103" s="8">
        <f>'Motion Profile'!G103</f>
        <v>8.9999603990122345</v>
      </c>
      <c r="D103" s="1"/>
      <c r="E103" s="1"/>
    </row>
  </sheetData>
  <mergeCells count="1">
    <mergeCell ref="D1:E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C13"/>
  <sheetViews>
    <sheetView workbookViewId="0">
      <selection activeCell="C23" sqref="C23"/>
    </sheetView>
  </sheetViews>
  <sheetFormatPr defaultColWidth="8.6640625" defaultRowHeight="14.4" x14ac:dyDescent="0.3"/>
  <cols>
    <col min="2" max="2" width="10" bestFit="1" customWidth="1"/>
    <col min="3" max="3" width="11.44140625" bestFit="1" customWidth="1"/>
  </cols>
  <sheetData>
    <row r="2" spans="2:3" ht="18" x14ac:dyDescent="0.35">
      <c r="B2" s="3" t="s">
        <v>6</v>
      </c>
    </row>
    <row r="3" spans="2:3" ht="18" x14ac:dyDescent="0.35">
      <c r="B3" s="3"/>
    </row>
    <row r="4" spans="2:3" x14ac:dyDescent="0.3">
      <c r="B4" t="s">
        <v>5</v>
      </c>
      <c r="C4" t="s">
        <v>2</v>
      </c>
    </row>
    <row r="5" spans="2:3" x14ac:dyDescent="0.3">
      <c r="B5">
        <v>0</v>
      </c>
      <c r="C5">
        <v>-599</v>
      </c>
    </row>
    <row r="6" spans="2:3" x14ac:dyDescent="0.3">
      <c r="B6">
        <v>50</v>
      </c>
      <c r="C6">
        <v>-197</v>
      </c>
    </row>
    <row r="7" spans="2:3" x14ac:dyDescent="0.3">
      <c r="B7">
        <v>100</v>
      </c>
      <c r="C7">
        <v>230</v>
      </c>
    </row>
    <row r="8" spans="2:3" x14ac:dyDescent="0.3">
      <c r="B8">
        <v>150</v>
      </c>
      <c r="C8">
        <v>654</v>
      </c>
    </row>
    <row r="9" spans="2:3" x14ac:dyDescent="0.3">
      <c r="B9">
        <v>200</v>
      </c>
      <c r="C9">
        <v>1014</v>
      </c>
    </row>
    <row r="10" spans="2:3" x14ac:dyDescent="0.3">
      <c r="B10">
        <v>250</v>
      </c>
      <c r="C10">
        <v>1250</v>
      </c>
    </row>
    <row r="11" spans="2:3" x14ac:dyDescent="0.3">
      <c r="B11">
        <v>300</v>
      </c>
      <c r="C11">
        <v>1439</v>
      </c>
    </row>
    <row r="12" spans="2:3" x14ac:dyDescent="0.3">
      <c r="B12">
        <v>350</v>
      </c>
      <c r="C12">
        <v>1560</v>
      </c>
    </row>
    <row r="13" spans="2:3" x14ac:dyDescent="0.3">
      <c r="B13">
        <v>400</v>
      </c>
      <c r="C13">
        <v>1647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Motion Profile</vt:lpstr>
      <vt:lpstr>No Load</vt:lpstr>
      <vt:lpstr>10 Ohm</vt:lpstr>
      <vt:lpstr>5 Ohm</vt:lpstr>
      <vt:lpstr>2 Ohm</vt:lpstr>
      <vt:lpstr>1 Ohm</vt:lpstr>
      <vt:lpstr>0.5 Ohm</vt:lpstr>
      <vt:lpstr>0.3 Ohm</vt:lpstr>
      <vt:lpstr>Motor Mode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 Breeze</dc:creator>
  <cp:lastModifiedBy>Colin Breeze</cp:lastModifiedBy>
  <dcterms:created xsi:type="dcterms:W3CDTF">2024-12-02T20:06:28Z</dcterms:created>
  <dcterms:modified xsi:type="dcterms:W3CDTF">2024-12-15T20:18:22Z</dcterms:modified>
</cp:coreProperties>
</file>